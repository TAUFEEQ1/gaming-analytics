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mafa\Downloads\"/>
    </mc:Choice>
  </mc:AlternateContent>
  <xr:revisionPtr revIDLastSave="0" documentId="13_ncr:1_{93C08E7F-6465-43AF-B50A-13C5792C3E33}" xr6:coauthVersionLast="47" xr6:coauthVersionMax="47" xr10:uidLastSave="{00000000-0000-0000-0000-000000000000}"/>
  <bookViews>
    <workbookView xWindow="-110" yWindow="-110" windowWidth="19420" windowHeight="10300" tabRatio="630" xr2:uid="{891AB0C9-C575-4C16-A138-AA2D6142DEAF}"/>
  </bookViews>
  <sheets>
    <sheet name="Data" sheetId="1" r:id="rId1"/>
  </sheets>
  <definedNames>
    <definedName name="Betting">#REF!</definedName>
    <definedName name="Betting_Operators">#REF!</definedName>
    <definedName name="Bingo">#REF!</definedName>
    <definedName name="Bingo_Operators">#REF!</definedName>
    <definedName name="Casino">#REF!</definedName>
    <definedName name="Casino_Operators">#REF!</definedName>
    <definedName name="Licence_Category">#REF!</definedName>
    <definedName name="Operator_Name">#REF!</definedName>
    <definedName name="OPerators_Range">#REF!</definedName>
    <definedName name="Slot_Operators">#REF!</definedName>
    <definedName name="Slots">#REF!</definedName>
    <definedName name="Software">#REF!</definedName>
    <definedName name="Software_Operators">#REF!</definedName>
    <definedName name="Supplier_Operators">#REF!</definedName>
    <definedName name="Suppliers">#REF!</definedName>
    <definedName name="TI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4" i="1" l="1"/>
  <c r="J824" i="1"/>
  <c r="K824" i="1"/>
  <c r="A823" i="1"/>
  <c r="D823" i="1"/>
  <c r="D663" i="1"/>
  <c r="L817" i="1"/>
  <c r="L818" i="1"/>
  <c r="L819" i="1"/>
  <c r="L820" i="1"/>
  <c r="L821" i="1"/>
  <c r="A817" i="1"/>
  <c r="A818" i="1"/>
  <c r="A819" i="1"/>
  <c r="A820" i="1"/>
  <c r="A821" i="1"/>
  <c r="A822" i="1"/>
  <c r="D817" i="1"/>
  <c r="D818" i="1"/>
  <c r="D819" i="1"/>
  <c r="D820" i="1"/>
  <c r="D821" i="1"/>
  <c r="D822" i="1"/>
  <c r="L812" i="1"/>
  <c r="L813" i="1"/>
  <c r="L816" i="1"/>
  <c r="A812" i="1"/>
  <c r="D812" i="1"/>
  <c r="A813" i="1"/>
  <c r="D813" i="1"/>
  <c r="A814" i="1"/>
  <c r="D814" i="1"/>
  <c r="A815" i="1"/>
  <c r="D815" i="1"/>
  <c r="D810" i="1"/>
  <c r="L807" i="1"/>
  <c r="A807" i="1"/>
  <c r="D807" i="1"/>
  <c r="L764" i="1"/>
  <c r="L803" i="1"/>
  <c r="I463" i="1"/>
  <c r="H679" i="1"/>
  <c r="H764" i="1"/>
  <c r="D785" i="1"/>
  <c r="L541" i="1"/>
  <c r="D541" i="1"/>
  <c r="A541" i="1"/>
  <c r="A671" i="1"/>
  <c r="D671" i="1"/>
  <c r="D776" i="1"/>
  <c r="L770" i="1"/>
  <c r="L771" i="1"/>
  <c r="L772" i="1"/>
  <c r="L773" i="1"/>
  <c r="L774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7" i="1"/>
  <c r="L798" i="1"/>
  <c r="L799" i="1"/>
  <c r="L800" i="1"/>
  <c r="L801" i="1"/>
  <c r="L802" i="1"/>
  <c r="L804" i="1"/>
  <c r="L805" i="1"/>
  <c r="L806" i="1"/>
  <c r="L808" i="1"/>
  <c r="L809" i="1"/>
  <c r="L810" i="1"/>
  <c r="L811" i="1"/>
  <c r="L769" i="1"/>
  <c r="A771" i="1"/>
  <c r="A772" i="1"/>
  <c r="A773" i="1"/>
  <c r="A774" i="1"/>
  <c r="A775" i="1"/>
  <c r="A776" i="1"/>
  <c r="A777" i="1"/>
  <c r="A778" i="1"/>
  <c r="D771" i="1"/>
  <c r="D772" i="1"/>
  <c r="D773" i="1"/>
  <c r="D774" i="1"/>
  <c r="D775" i="1"/>
  <c r="D777" i="1"/>
  <c r="D778" i="1"/>
  <c r="A779" i="1"/>
  <c r="A780" i="1"/>
  <c r="A781" i="1"/>
  <c r="A782" i="1"/>
  <c r="A783" i="1"/>
  <c r="A784" i="1"/>
  <c r="A785" i="1"/>
  <c r="A786" i="1"/>
  <c r="D779" i="1"/>
  <c r="D780" i="1"/>
  <c r="D781" i="1"/>
  <c r="D782" i="1"/>
  <c r="D783" i="1"/>
  <c r="D784" i="1"/>
  <c r="D786" i="1"/>
  <c r="L768" i="1"/>
  <c r="L755" i="1"/>
  <c r="L756" i="1"/>
  <c r="L757" i="1"/>
  <c r="L758" i="1"/>
  <c r="L759" i="1"/>
  <c r="L760" i="1"/>
  <c r="L761" i="1"/>
  <c r="L762" i="1"/>
  <c r="L754" i="1"/>
  <c r="A802" i="1"/>
  <c r="A803" i="1"/>
  <c r="A804" i="1"/>
  <c r="A805" i="1"/>
  <c r="A806" i="1"/>
  <c r="A808" i="1"/>
  <c r="A809" i="1"/>
  <c r="A810" i="1"/>
  <c r="A811" i="1"/>
  <c r="D802" i="1"/>
  <c r="D803" i="1"/>
  <c r="D804" i="1"/>
  <c r="D805" i="1"/>
  <c r="D806" i="1"/>
  <c r="D808" i="1"/>
  <c r="D809" i="1"/>
  <c r="D811" i="1"/>
  <c r="A793" i="1"/>
  <c r="A794" i="1"/>
  <c r="A795" i="1"/>
  <c r="A796" i="1"/>
  <c r="A797" i="1"/>
  <c r="A798" i="1"/>
  <c r="A799" i="1"/>
  <c r="A800" i="1"/>
  <c r="A801" i="1"/>
  <c r="D793" i="1"/>
  <c r="D794" i="1"/>
  <c r="D795" i="1"/>
  <c r="D796" i="1"/>
  <c r="D797" i="1"/>
  <c r="D798" i="1"/>
  <c r="D799" i="1"/>
  <c r="D800" i="1"/>
  <c r="D801" i="1"/>
  <c r="A768" i="1"/>
  <c r="A769" i="1"/>
  <c r="A770" i="1"/>
  <c r="A787" i="1"/>
  <c r="A788" i="1"/>
  <c r="A789" i="1"/>
  <c r="A790" i="1"/>
  <c r="A791" i="1"/>
  <c r="A792" i="1"/>
  <c r="D768" i="1"/>
  <c r="D769" i="1"/>
  <c r="D770" i="1"/>
  <c r="D787" i="1"/>
  <c r="D788" i="1"/>
  <c r="D789" i="1"/>
  <c r="D790" i="1"/>
  <c r="D791" i="1"/>
  <c r="D792" i="1"/>
  <c r="A759" i="1"/>
  <c r="A760" i="1"/>
  <c r="A761" i="1"/>
  <c r="A762" i="1"/>
  <c r="A763" i="1"/>
  <c r="A764" i="1"/>
  <c r="A765" i="1"/>
  <c r="A766" i="1"/>
  <c r="D759" i="1"/>
  <c r="D760" i="1"/>
  <c r="D761" i="1"/>
  <c r="D762" i="1"/>
  <c r="D763" i="1"/>
  <c r="D765" i="1"/>
  <c r="D766" i="1"/>
  <c r="A751" i="1"/>
  <c r="A752" i="1"/>
  <c r="A753" i="1"/>
  <c r="A754" i="1"/>
  <c r="A755" i="1"/>
  <c r="A756" i="1"/>
  <c r="A757" i="1"/>
  <c r="A758" i="1"/>
  <c r="D751" i="1"/>
  <c r="D752" i="1"/>
  <c r="D753" i="1"/>
  <c r="D754" i="1"/>
  <c r="D755" i="1"/>
  <c r="D756" i="1"/>
  <c r="D757" i="1"/>
  <c r="D758" i="1"/>
  <c r="L663" i="1"/>
  <c r="I562" i="1"/>
  <c r="I509" i="1"/>
  <c r="I493" i="1"/>
  <c r="I492" i="1"/>
  <c r="I433" i="1"/>
  <c r="I425" i="1"/>
  <c r="I377" i="1"/>
  <c r="I292" i="1"/>
  <c r="I255" i="1"/>
  <c r="I126" i="1"/>
  <c r="I5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9" i="1"/>
  <c r="I60" i="1"/>
  <c r="I61" i="1"/>
  <c r="I62" i="1"/>
  <c r="I63" i="1"/>
  <c r="I65" i="1"/>
  <c r="I66" i="1"/>
  <c r="I67" i="1"/>
  <c r="I68" i="1"/>
  <c r="I69" i="1"/>
  <c r="I70" i="1"/>
  <c r="I72" i="1"/>
  <c r="I77" i="1"/>
  <c r="I78" i="1"/>
  <c r="I79" i="1"/>
  <c r="I80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4" i="1"/>
  <c r="I125" i="1"/>
  <c r="I127" i="1"/>
  <c r="I128" i="1"/>
  <c r="I130" i="1"/>
  <c r="I131" i="1"/>
  <c r="I132" i="1"/>
  <c r="I133" i="1"/>
  <c r="I134" i="1"/>
  <c r="I136" i="1"/>
  <c r="I137" i="1"/>
  <c r="I138" i="1"/>
  <c r="I139" i="1"/>
  <c r="I140" i="1"/>
  <c r="I141" i="1"/>
  <c r="I142" i="1"/>
  <c r="I143" i="1"/>
  <c r="I145" i="1"/>
  <c r="I146" i="1"/>
  <c r="I147" i="1"/>
  <c r="I149" i="1"/>
  <c r="I150" i="1"/>
  <c r="I151" i="1"/>
  <c r="I153" i="1"/>
  <c r="I154" i="1"/>
  <c r="I155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8" i="1"/>
  <c r="I249" i="1"/>
  <c r="I250" i="1"/>
  <c r="I251" i="1"/>
  <c r="I252" i="1"/>
  <c r="I253" i="1"/>
  <c r="I254" i="1"/>
  <c r="I256" i="1"/>
  <c r="I257" i="1"/>
  <c r="I258" i="1"/>
  <c r="I259" i="1"/>
  <c r="I260" i="1"/>
  <c r="I261" i="1"/>
  <c r="I262" i="1"/>
  <c r="I264" i="1"/>
  <c r="I265" i="1"/>
  <c r="I266" i="1"/>
  <c r="I267" i="1"/>
  <c r="I268" i="1"/>
  <c r="I269" i="1"/>
  <c r="I270" i="1"/>
  <c r="I273" i="1"/>
  <c r="I274" i="1"/>
  <c r="I275" i="1"/>
  <c r="I280" i="1"/>
  <c r="I281" i="1"/>
  <c r="I283" i="1"/>
  <c r="I284" i="1"/>
  <c r="I285" i="1"/>
  <c r="I286" i="1"/>
  <c r="I287" i="1"/>
  <c r="I288" i="1"/>
  <c r="I289" i="1"/>
  <c r="I290" i="1"/>
  <c r="I291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1" i="1"/>
  <c r="I322" i="1"/>
  <c r="I323" i="1"/>
  <c r="I324" i="1"/>
  <c r="I325" i="1"/>
  <c r="I326" i="1"/>
  <c r="I327" i="1"/>
  <c r="I328" i="1"/>
  <c r="I329" i="1"/>
  <c r="I331" i="1"/>
  <c r="I333" i="1"/>
  <c r="I334" i="1"/>
  <c r="I335" i="1"/>
  <c r="I336" i="1"/>
  <c r="I345" i="1"/>
  <c r="I346" i="1"/>
  <c r="I347" i="1"/>
  <c r="I348" i="1"/>
  <c r="I349" i="1"/>
  <c r="I350" i="1"/>
  <c r="I351" i="1"/>
  <c r="I352" i="1"/>
  <c r="I353" i="1"/>
  <c r="I354" i="1"/>
  <c r="I355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4" i="1"/>
  <c r="I395" i="1"/>
  <c r="I396" i="1"/>
  <c r="I397" i="1"/>
  <c r="I398" i="1"/>
  <c r="I400" i="1"/>
  <c r="I401" i="1"/>
  <c r="I402" i="1"/>
  <c r="I403" i="1"/>
  <c r="I404" i="1"/>
  <c r="I405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6" i="1"/>
  <c r="I427" i="1"/>
  <c r="I428" i="1"/>
  <c r="I429" i="1"/>
  <c r="I430" i="1"/>
  <c r="I431" i="1"/>
  <c r="I432" i="1"/>
  <c r="I434" i="1"/>
  <c r="I435" i="1"/>
  <c r="I436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4" i="1"/>
  <c r="I455" i="1"/>
  <c r="I456" i="1"/>
  <c r="I457" i="1"/>
  <c r="I458" i="1"/>
  <c r="I459" i="1"/>
  <c r="I460" i="1"/>
  <c r="I461" i="1"/>
  <c r="I462" i="1"/>
  <c r="I464" i="1"/>
  <c r="I465" i="1"/>
  <c r="I466" i="1"/>
  <c r="I467" i="1"/>
  <c r="I468" i="1"/>
  <c r="I469" i="1"/>
  <c r="I470" i="1"/>
  <c r="I471" i="1"/>
  <c r="I472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11" i="1"/>
  <c r="I512" i="1"/>
  <c r="I513" i="1"/>
  <c r="I514" i="1"/>
  <c r="I515" i="1"/>
  <c r="I516" i="1"/>
  <c r="I517" i="1"/>
  <c r="I518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9" i="1"/>
  <c r="I630" i="1"/>
  <c r="I631" i="1"/>
  <c r="I632" i="1"/>
  <c r="I634" i="1"/>
  <c r="I635" i="1"/>
  <c r="I636" i="1"/>
  <c r="I637" i="1"/>
  <c r="I638" i="1"/>
  <c r="I639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4" i="1"/>
  <c r="I665" i="1"/>
  <c r="I666" i="1"/>
  <c r="I667" i="1"/>
  <c r="I668" i="1"/>
  <c r="I669" i="1"/>
  <c r="I2" i="1"/>
  <c r="D131" i="1"/>
  <c r="D132" i="1"/>
  <c r="D66" i="1"/>
  <c r="D67" i="1"/>
  <c r="D68" i="1"/>
  <c r="D69" i="1"/>
  <c r="D133" i="1"/>
  <c r="D134" i="1"/>
  <c r="D202" i="1"/>
  <c r="D203" i="1"/>
  <c r="D269" i="1"/>
  <c r="D270" i="1"/>
  <c r="D471" i="1"/>
  <c r="D472" i="1"/>
  <c r="D336" i="1"/>
  <c r="D669" i="1"/>
  <c r="D670" i="1"/>
  <c r="D135" i="1"/>
  <c r="D539" i="1"/>
  <c r="D473" i="1"/>
  <c r="D540" i="1"/>
  <c r="D606" i="1"/>
  <c r="D607" i="1"/>
  <c r="D337" i="1"/>
  <c r="D338" i="1"/>
  <c r="D474" i="1"/>
  <c r="D542" i="1"/>
  <c r="D608" i="1"/>
  <c r="D406" i="1"/>
  <c r="D407" i="1"/>
  <c r="D339" i="1"/>
  <c r="D340" i="1"/>
  <c r="D408" i="1"/>
  <c r="D409" i="1"/>
  <c r="D672" i="1"/>
  <c r="D271" i="1"/>
  <c r="D272" i="1"/>
  <c r="D673" i="1"/>
  <c r="D674" i="1"/>
  <c r="D675" i="1"/>
  <c r="D676" i="1"/>
  <c r="D677" i="1"/>
  <c r="D678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9" i="1"/>
  <c r="D714" i="1"/>
  <c r="D720" i="1"/>
  <c r="D722" i="1"/>
  <c r="D723" i="1"/>
  <c r="D724" i="1"/>
  <c r="D725" i="1"/>
  <c r="D715" i="1"/>
  <c r="D716" i="1"/>
  <c r="D717" i="1"/>
  <c r="D718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67" i="1"/>
  <c r="D816" i="1"/>
  <c r="L473" i="1"/>
  <c r="L540" i="1"/>
  <c r="L606" i="1"/>
  <c r="L607" i="1"/>
  <c r="L337" i="1"/>
  <c r="L338" i="1"/>
  <c r="L474" i="1"/>
  <c r="L542" i="1"/>
  <c r="L608" i="1"/>
  <c r="L406" i="1"/>
  <c r="L407" i="1"/>
  <c r="L339" i="1"/>
  <c r="L340" i="1"/>
  <c r="L408" i="1"/>
  <c r="L409" i="1"/>
  <c r="L673" i="1"/>
  <c r="L676" i="1"/>
  <c r="L698" i="1"/>
  <c r="L699" i="1"/>
  <c r="L701" i="1"/>
  <c r="L702" i="1"/>
  <c r="L703" i="1"/>
  <c r="L704" i="1"/>
  <c r="L705" i="1"/>
  <c r="L706" i="1"/>
  <c r="L707" i="1"/>
  <c r="L720" i="1"/>
  <c r="L722" i="1"/>
  <c r="L715" i="1"/>
  <c r="L716" i="1"/>
  <c r="L717" i="1"/>
  <c r="L718" i="1"/>
  <c r="L728" i="1"/>
  <c r="L732" i="1"/>
  <c r="L733" i="1"/>
  <c r="L734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67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9" i="1"/>
  <c r="A714" i="1"/>
  <c r="A720" i="1"/>
  <c r="A721" i="1"/>
  <c r="A722" i="1"/>
  <c r="A723" i="1"/>
  <c r="A724" i="1"/>
  <c r="A725" i="1"/>
  <c r="A715" i="1"/>
  <c r="A716" i="1"/>
  <c r="A717" i="1"/>
  <c r="A718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67" i="1"/>
  <c r="A816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539" i="1"/>
  <c r="A473" i="1"/>
  <c r="A540" i="1"/>
  <c r="A606" i="1"/>
  <c r="A607" i="1"/>
  <c r="A337" i="1"/>
  <c r="A338" i="1"/>
  <c r="A474" i="1"/>
  <c r="A542" i="1"/>
  <c r="A608" i="1"/>
  <c r="A406" i="1"/>
  <c r="A407" i="1"/>
  <c r="A339" i="1"/>
  <c r="A340" i="1"/>
  <c r="A408" i="1"/>
  <c r="A409" i="1"/>
  <c r="A672" i="1"/>
  <c r="A271" i="1"/>
  <c r="A272" i="1"/>
  <c r="A673" i="1"/>
  <c r="A674" i="1"/>
  <c r="A675" i="1"/>
  <c r="D404" i="1"/>
  <c r="D405" i="1"/>
  <c r="D465" i="1"/>
  <c r="D466" i="1"/>
  <c r="D529" i="1"/>
  <c r="D598" i="1"/>
  <c r="D664" i="1"/>
  <c r="D530" i="1"/>
  <c r="D531" i="1"/>
  <c r="D532" i="1"/>
  <c r="D533" i="1"/>
  <c r="D534" i="1"/>
  <c r="D535" i="1"/>
  <c r="D599" i="1"/>
  <c r="D600" i="1"/>
  <c r="D665" i="1"/>
  <c r="D666" i="1"/>
  <c r="D267" i="1"/>
  <c r="D268" i="1"/>
  <c r="D601" i="1"/>
  <c r="D602" i="1"/>
  <c r="D467" i="1"/>
  <c r="D468" i="1"/>
  <c r="D603" i="1"/>
  <c r="D604" i="1"/>
  <c r="D667" i="1"/>
  <c r="D668" i="1"/>
  <c r="L655" i="1"/>
  <c r="L656" i="1"/>
  <c r="L456" i="1"/>
  <c r="L588" i="1"/>
  <c r="L657" i="1"/>
  <c r="L457" i="1"/>
  <c r="L458" i="1"/>
  <c r="L589" i="1"/>
  <c r="L590" i="1"/>
  <c r="L658" i="1"/>
  <c r="L659" i="1"/>
  <c r="L591" i="1"/>
  <c r="L592" i="1"/>
  <c r="L593" i="1"/>
  <c r="L660" i="1"/>
  <c r="L401" i="1"/>
  <c r="L459" i="1"/>
  <c r="L524" i="1"/>
  <c r="L594" i="1"/>
  <c r="L661" i="1"/>
  <c r="L265" i="1"/>
  <c r="L402" i="1"/>
  <c r="L460" i="1"/>
  <c r="L525" i="1"/>
  <c r="L595" i="1"/>
  <c r="L461" i="1"/>
  <c r="L526" i="1"/>
  <c r="L596" i="1"/>
  <c r="L662" i="1"/>
  <c r="L65" i="1"/>
  <c r="L130" i="1"/>
  <c r="L199" i="1"/>
  <c r="L266" i="1"/>
  <c r="L334" i="1"/>
  <c r="L403" i="1"/>
  <c r="L462" i="1"/>
  <c r="L527" i="1"/>
  <c r="L597" i="1"/>
  <c r="L463" i="1"/>
  <c r="L528" i="1"/>
  <c r="L464" i="1"/>
  <c r="L404" i="1"/>
  <c r="L405" i="1"/>
  <c r="L465" i="1"/>
  <c r="L466" i="1"/>
  <c r="L529" i="1"/>
  <c r="L598" i="1"/>
  <c r="L664" i="1"/>
  <c r="L532" i="1"/>
  <c r="L533" i="1"/>
  <c r="L534" i="1"/>
  <c r="L535" i="1"/>
  <c r="L599" i="1"/>
  <c r="L600" i="1"/>
  <c r="L665" i="1"/>
  <c r="L666" i="1"/>
  <c r="L267" i="1"/>
  <c r="L268" i="1"/>
  <c r="L601" i="1"/>
  <c r="L536" i="1"/>
  <c r="L537" i="1"/>
  <c r="L469" i="1"/>
  <c r="L470" i="1"/>
  <c r="L335" i="1"/>
  <c r="L538" i="1"/>
  <c r="L605" i="1"/>
  <c r="L200" i="1"/>
  <c r="L201" i="1"/>
  <c r="L131" i="1"/>
  <c r="L132" i="1"/>
  <c r="L66" i="1"/>
  <c r="L67" i="1"/>
  <c r="L336" i="1"/>
  <c r="L669" i="1"/>
  <c r="D457" i="1"/>
  <c r="D458" i="1"/>
  <c r="D652" i="1"/>
  <c r="D653" i="1"/>
  <c r="D654" i="1"/>
  <c r="L654" i="1"/>
  <c r="L521" i="1"/>
  <c r="L585" i="1"/>
  <c r="L653" i="1"/>
  <c r="L522" i="1"/>
  <c r="L523" i="1"/>
  <c r="L586" i="1"/>
  <c r="L587" i="1"/>
  <c r="D64" i="1"/>
  <c r="D609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450" i="1"/>
  <c r="L451" i="1"/>
  <c r="L517" i="1"/>
  <c r="L518" i="1"/>
  <c r="L579" i="1"/>
  <c r="L580" i="1"/>
  <c r="L646" i="1"/>
  <c r="L647" i="1"/>
  <c r="L581" i="1"/>
  <c r="L64" i="1"/>
  <c r="L129" i="1"/>
  <c r="L198" i="1"/>
  <c r="L263" i="1"/>
  <c r="L332" i="1"/>
  <c r="L399" i="1"/>
  <c r="L453" i="1"/>
  <c r="L519" i="1"/>
  <c r="L583" i="1"/>
  <c r="L454" i="1"/>
  <c r="L520" i="1"/>
  <c r="L333" i="1"/>
  <c r="L400" i="1"/>
  <c r="L648" i="1"/>
  <c r="L649" i="1"/>
  <c r="L650" i="1"/>
  <c r="L651" i="1"/>
  <c r="L264" i="1"/>
  <c r="L455" i="1"/>
  <c r="L398" i="1"/>
  <c r="L448" i="1"/>
  <c r="L449" i="1"/>
  <c r="L513" i="1"/>
  <c r="L514" i="1"/>
  <c r="L575" i="1"/>
  <c r="L576" i="1"/>
  <c r="L577" i="1"/>
  <c r="L515" i="1"/>
  <c r="L516" i="1"/>
  <c r="L611" i="1"/>
  <c r="L622" i="1"/>
  <c r="L623" i="1"/>
  <c r="L624" i="1"/>
  <c r="L397" i="1"/>
  <c r="L574" i="1"/>
  <c r="L573" i="1"/>
  <c r="L572" i="1"/>
  <c r="L569" i="1"/>
  <c r="L568" i="1"/>
  <c r="D570" i="1"/>
  <c r="L481" i="1"/>
  <c r="L482" i="1"/>
  <c r="L485" i="1"/>
  <c r="L487" i="1"/>
  <c r="L509" i="1"/>
  <c r="L552" i="1"/>
  <c r="D61" i="1"/>
  <c r="D374" i="1"/>
  <c r="A4" i="1"/>
  <c r="A6" i="1"/>
  <c r="A8" i="1"/>
  <c r="A10" i="1"/>
  <c r="A12" i="1"/>
  <c r="A14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71" i="1"/>
  <c r="A73" i="1"/>
  <c r="A75" i="1"/>
  <c r="A77" i="1"/>
  <c r="A79" i="1"/>
  <c r="A81" i="1"/>
  <c r="A83" i="1"/>
  <c r="A85" i="1"/>
  <c r="A87" i="1"/>
  <c r="A88" i="1"/>
  <c r="A90" i="1"/>
  <c r="A92" i="1"/>
  <c r="A94" i="1"/>
  <c r="A95" i="1"/>
  <c r="A50" i="1"/>
  <c r="A97" i="1"/>
  <c r="A99" i="1"/>
  <c r="A100" i="1"/>
  <c r="A137" i="1"/>
  <c r="A139" i="1"/>
  <c r="A141" i="1"/>
  <c r="A143" i="1"/>
  <c r="A145" i="1"/>
  <c r="A147" i="1"/>
  <c r="A148" i="1"/>
  <c r="A150" i="1"/>
  <c r="A152" i="1"/>
  <c r="A154" i="1"/>
  <c r="A156" i="1"/>
  <c r="A158" i="1"/>
  <c r="A160" i="1"/>
  <c r="A162" i="1"/>
  <c r="A164" i="1"/>
  <c r="A103" i="1"/>
  <c r="A166" i="1"/>
  <c r="A105" i="1"/>
  <c r="A106" i="1"/>
  <c r="A168" i="1"/>
  <c r="A170" i="1"/>
  <c r="A107" i="1"/>
  <c r="A109" i="1"/>
  <c r="A111" i="1"/>
  <c r="A113" i="1"/>
  <c r="A172" i="1"/>
  <c r="A116" i="1"/>
  <c r="A117" i="1"/>
  <c r="A204" i="1"/>
  <c r="A175" i="1"/>
  <c r="A206" i="1"/>
  <c r="A208" i="1"/>
  <c r="A210" i="1"/>
  <c r="A212" i="1"/>
  <c r="A214" i="1"/>
  <c r="A216" i="1"/>
  <c r="A218" i="1"/>
  <c r="A220" i="1"/>
  <c r="A222" i="1"/>
  <c r="A224" i="1"/>
  <c r="A119" i="1"/>
  <c r="A177" i="1"/>
  <c r="A225" i="1"/>
  <c r="A227" i="1"/>
  <c r="A54" i="1"/>
  <c r="A179" i="1"/>
  <c r="A230" i="1"/>
  <c r="A232" i="1"/>
  <c r="A234" i="1"/>
  <c r="A236" i="1"/>
  <c r="A238" i="1"/>
  <c r="A121" i="1"/>
  <c r="A239" i="1"/>
  <c r="A181" i="1"/>
  <c r="A242" i="1"/>
  <c r="A244" i="1"/>
  <c r="A123" i="1"/>
  <c r="A183" i="1"/>
  <c r="A185" i="1"/>
  <c r="A124" i="1"/>
  <c r="A188" i="1"/>
  <c r="A246" i="1"/>
  <c r="A57" i="1"/>
  <c r="A248" i="1"/>
  <c r="A249" i="1"/>
  <c r="A190" i="1"/>
  <c r="A250" i="1"/>
  <c r="A273" i="1"/>
  <c r="A275" i="1"/>
  <c r="A277" i="1"/>
  <c r="A279" i="1"/>
  <c r="A281" i="1"/>
  <c r="A283" i="1"/>
  <c r="A285" i="1"/>
  <c r="A287" i="1"/>
  <c r="A289" i="1"/>
  <c r="A291" i="1"/>
  <c r="A293" i="1"/>
  <c r="A295" i="1"/>
  <c r="A297" i="1"/>
  <c r="A299" i="1"/>
  <c r="A300" i="1"/>
  <c r="A302" i="1"/>
  <c r="A304" i="1"/>
  <c r="A306" i="1"/>
  <c r="A308" i="1"/>
  <c r="A310" i="1"/>
  <c r="A312" i="1"/>
  <c r="A254" i="1"/>
  <c r="A314" i="1"/>
  <c r="A316" i="1"/>
  <c r="A255" i="1"/>
  <c r="A192" i="1"/>
  <c r="A341" i="1"/>
  <c r="A343" i="1"/>
  <c r="A345" i="1"/>
  <c r="A347" i="1"/>
  <c r="A349" i="1"/>
  <c r="A351" i="1"/>
  <c r="A353" i="1"/>
  <c r="A355" i="1"/>
  <c r="A357" i="1"/>
  <c r="A59" i="1"/>
  <c r="A359" i="1"/>
  <c r="A361" i="1"/>
  <c r="A363" i="1"/>
  <c r="A318" i="1"/>
  <c r="A366" i="1"/>
  <c r="A256" i="1"/>
  <c r="A367" i="1"/>
  <c r="A369" i="1"/>
  <c r="A370" i="1"/>
  <c r="A372" i="1"/>
  <c r="A373" i="1"/>
  <c r="A60" i="1"/>
  <c r="A195" i="1"/>
  <c r="A322" i="1"/>
  <c r="A375" i="1"/>
  <c r="A324" i="1"/>
  <c r="A377" i="1"/>
  <c r="A258" i="1"/>
  <c r="A379" i="1"/>
  <c r="A196" i="1"/>
  <c r="A327" i="1"/>
  <c r="A328" i="1"/>
  <c r="A62" i="1"/>
  <c r="A382" i="1"/>
  <c r="A384" i="1"/>
  <c r="A386" i="1"/>
  <c r="A261" i="1"/>
  <c r="A387" i="1"/>
  <c r="A389" i="1"/>
  <c r="A410" i="1"/>
  <c r="A412" i="1"/>
  <c r="A414" i="1"/>
  <c r="A416" i="1"/>
  <c r="A418" i="1"/>
  <c r="A420" i="1"/>
  <c r="A422" i="1"/>
  <c r="A424" i="1"/>
  <c r="A426" i="1"/>
  <c r="A428" i="1"/>
  <c r="A430" i="1"/>
  <c r="A432" i="1"/>
  <c r="A391" i="1"/>
  <c r="A435" i="1"/>
  <c r="A392" i="1"/>
  <c r="A331" i="1"/>
  <c r="A394" i="1"/>
  <c r="A438" i="1"/>
  <c r="A440" i="1"/>
  <c r="A442" i="1"/>
  <c r="A444" i="1"/>
  <c r="A262" i="1"/>
  <c r="A475" i="1"/>
  <c r="A477" i="1"/>
  <c r="A479" i="1"/>
  <c r="A481" i="1"/>
  <c r="A483" i="1"/>
  <c r="A485" i="1"/>
  <c r="A487" i="1"/>
  <c r="A489" i="1"/>
  <c r="A491" i="1"/>
  <c r="A493" i="1"/>
  <c r="A495" i="1"/>
  <c r="A497" i="1"/>
  <c r="A499" i="1"/>
  <c r="A501" i="1"/>
  <c r="A503" i="1"/>
  <c r="A505" i="1"/>
  <c r="A507" i="1"/>
  <c r="A128" i="1"/>
  <c r="A508" i="1"/>
  <c r="A395" i="1"/>
  <c r="A510" i="1"/>
  <c r="A543" i="1"/>
  <c r="A545" i="1"/>
  <c r="A547" i="1"/>
  <c r="A549" i="1"/>
  <c r="A551" i="1"/>
  <c r="A553" i="1"/>
  <c r="A555" i="1"/>
  <c r="A557" i="1"/>
  <c r="A559" i="1"/>
  <c r="A512" i="1"/>
  <c r="A562" i="1"/>
  <c r="A564" i="1"/>
  <c r="A566" i="1"/>
  <c r="A568" i="1"/>
  <c r="A570" i="1"/>
  <c r="A572" i="1"/>
  <c r="A574" i="1"/>
  <c r="A398" i="1"/>
  <c r="A449" i="1"/>
  <c r="A514" i="1"/>
  <c r="A576" i="1"/>
  <c r="A515" i="1"/>
  <c r="A610" i="1"/>
  <c r="A611" i="1"/>
  <c r="A613" i="1"/>
  <c r="A615" i="1"/>
  <c r="A617" i="1"/>
  <c r="A619" i="1"/>
  <c r="A621" i="1"/>
  <c r="A623" i="1"/>
  <c r="A625" i="1"/>
  <c r="A627" i="1"/>
  <c r="A629" i="1"/>
  <c r="A631" i="1"/>
  <c r="A633" i="1"/>
  <c r="A635" i="1"/>
  <c r="A637" i="1"/>
  <c r="A639" i="1"/>
  <c r="A641" i="1"/>
  <c r="A643" i="1"/>
  <c r="A644" i="1"/>
  <c r="A450" i="1"/>
  <c r="A517" i="1"/>
  <c r="A579" i="1"/>
  <c r="A646" i="1"/>
  <c r="A654" i="1"/>
  <c r="A582" i="1"/>
  <c r="A64" i="1"/>
  <c r="A198" i="1"/>
  <c r="A332" i="1"/>
  <c r="A453" i="1"/>
  <c r="A583" i="1"/>
  <c r="A520" i="1"/>
  <c r="A400" i="1"/>
  <c r="A649" i="1"/>
  <c r="A651" i="1"/>
  <c r="A264" i="1"/>
  <c r="A521" i="1"/>
  <c r="A653" i="1"/>
  <c r="A522" i="1"/>
  <c r="A586" i="1"/>
  <c r="A655" i="1"/>
  <c r="A456" i="1"/>
  <c r="A657" i="1"/>
  <c r="A458" i="1"/>
  <c r="A590" i="1"/>
  <c r="A659" i="1"/>
  <c r="A591" i="1"/>
  <c r="A660" i="1"/>
  <c r="A459" i="1"/>
  <c r="A594" i="1"/>
  <c r="A265" i="1"/>
  <c r="A402" i="1"/>
  <c r="A525" i="1"/>
  <c r="A461" i="1"/>
  <c r="A596" i="1"/>
  <c r="A65" i="1"/>
  <c r="A199" i="1"/>
  <c r="A334" i="1"/>
  <c r="A462" i="1"/>
  <c r="A597" i="1"/>
  <c r="A463" i="1"/>
  <c r="A464" i="1"/>
  <c r="A405" i="1"/>
  <c r="A466" i="1"/>
  <c r="A598" i="1"/>
  <c r="A530" i="1"/>
  <c r="A532" i="1"/>
  <c r="A534" i="1"/>
  <c r="A599" i="1"/>
  <c r="A665" i="1"/>
  <c r="A267" i="1"/>
  <c r="A601" i="1"/>
  <c r="A467" i="1"/>
  <c r="A603" i="1"/>
  <c r="A667" i="1"/>
  <c r="A536" i="1"/>
  <c r="A469" i="1"/>
  <c r="A335" i="1"/>
  <c r="A538" i="1"/>
  <c r="A200" i="1"/>
  <c r="A131" i="1"/>
  <c r="A66" i="1"/>
  <c r="A68" i="1"/>
  <c r="A133" i="1"/>
  <c r="A202" i="1"/>
  <c r="A269" i="1"/>
  <c r="A471" i="1"/>
  <c r="A336" i="1"/>
  <c r="A670" i="1"/>
  <c r="D359" i="1"/>
  <c r="L192" i="1"/>
  <c r="D192" i="1"/>
  <c r="D313" i="1"/>
  <c r="D240" i="1"/>
  <c r="D9" i="1"/>
  <c r="L2" i="1"/>
  <c r="D536" i="1"/>
  <c r="D537" i="1"/>
  <c r="D469" i="1"/>
  <c r="D470" i="1"/>
  <c r="D335" i="1"/>
  <c r="D538" i="1"/>
  <c r="D605" i="1"/>
  <c r="D200" i="1"/>
  <c r="D201" i="1"/>
  <c r="D528" i="1"/>
  <c r="D334" i="1"/>
  <c r="D403" i="1"/>
  <c r="D462" i="1"/>
  <c r="D527" i="1"/>
  <c r="D597" i="1"/>
  <c r="D463" i="1"/>
  <c r="H824" i="1" l="1"/>
  <c r="I824" i="1"/>
  <c r="L486" i="1"/>
  <c r="L480" i="1"/>
  <c r="L479" i="1"/>
  <c r="D526" i="1"/>
  <c r="D596" i="1"/>
  <c r="D662" i="1"/>
  <c r="D65" i="1"/>
  <c r="D130" i="1"/>
  <c r="D199" i="1"/>
  <c r="D266" i="1"/>
  <c r="D265" i="1"/>
  <c r="D595" i="1"/>
  <c r="D461" i="1"/>
  <c r="D525" i="1"/>
  <c r="D460" i="1"/>
  <c r="L824" i="1" l="1"/>
  <c r="D402" i="1"/>
  <c r="D524" i="1"/>
  <c r="D594" i="1"/>
  <c r="D661" i="1"/>
  <c r="D129" i="1"/>
  <c r="D198" i="1"/>
  <c r="D263" i="1"/>
  <c r="D332" i="1"/>
  <c r="D399" i="1"/>
  <c r="D453" i="1"/>
  <c r="D519" i="1"/>
  <c r="D583" i="1"/>
  <c r="D454" i="1"/>
  <c r="D520" i="1"/>
  <c r="D333" i="1"/>
  <c r="D400" i="1"/>
  <c r="D648" i="1"/>
  <c r="D649" i="1"/>
  <c r="D650" i="1"/>
  <c r="D651" i="1"/>
  <c r="D264" i="1"/>
  <c r="D455" i="1"/>
  <c r="D521" i="1"/>
  <c r="D585" i="1"/>
  <c r="D522" i="1"/>
  <c r="D523" i="1"/>
  <c r="D586" i="1"/>
  <c r="D587" i="1"/>
  <c r="D655" i="1"/>
  <c r="D656" i="1"/>
  <c r="D456" i="1"/>
  <c r="D588" i="1"/>
  <c r="D657" i="1"/>
  <c r="D589" i="1"/>
  <c r="D590" i="1"/>
  <c r="D401" i="1"/>
  <c r="D459" i="1"/>
  <c r="D591" i="1"/>
  <c r="D592" i="1"/>
  <c r="D593" i="1"/>
  <c r="D660" i="1"/>
  <c r="D658" i="1"/>
  <c r="D659" i="1"/>
  <c r="D518" i="1"/>
  <c r="D579" i="1"/>
  <c r="D580" i="1"/>
  <c r="D646" i="1"/>
  <c r="D647" i="1"/>
  <c r="D581" i="1"/>
  <c r="D517" i="1"/>
  <c r="D452" i="1"/>
  <c r="D582" i="1"/>
  <c r="D645" i="1"/>
  <c r="D638" i="1"/>
  <c r="D639" i="1"/>
  <c r="D640" i="1"/>
  <c r="D641" i="1"/>
  <c r="D642" i="1"/>
  <c r="D643" i="1"/>
  <c r="D584" i="1"/>
  <c r="D644" i="1"/>
  <c r="D450" i="1"/>
  <c r="D451" i="1"/>
  <c r="D632" i="1"/>
  <c r="D633" i="1"/>
  <c r="D634" i="1"/>
  <c r="D635" i="1"/>
  <c r="D629" i="1"/>
  <c r="D630" i="1"/>
  <c r="D631" i="1"/>
  <c r="D636" i="1"/>
  <c r="D637" i="1"/>
  <c r="D626" i="1"/>
  <c r="D627" i="1"/>
  <c r="D620" i="1"/>
  <c r="D621" i="1"/>
  <c r="D622" i="1"/>
  <c r="D623" i="1"/>
  <c r="D624" i="1"/>
  <c r="D610" i="1"/>
  <c r="D578" i="1"/>
  <c r="D611" i="1"/>
  <c r="D612" i="1"/>
  <c r="D613" i="1"/>
  <c r="D614" i="1"/>
  <c r="D397" i="1"/>
  <c r="D398" i="1"/>
  <c r="D448" i="1"/>
  <c r="D449" i="1"/>
  <c r="D513" i="1"/>
  <c r="D514" i="1"/>
  <c r="D499" i="1"/>
  <c r="D575" i="1"/>
  <c r="D576" i="1"/>
  <c r="D515" i="1"/>
  <c r="D516" i="1"/>
  <c r="D615" i="1"/>
  <c r="D616" i="1"/>
  <c r="D617" i="1"/>
  <c r="D618" i="1"/>
  <c r="D619" i="1"/>
  <c r="D625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12" i="1"/>
  <c r="D561" i="1"/>
  <c r="D563" i="1"/>
  <c r="D564" i="1"/>
  <c r="D565" i="1"/>
  <c r="D566" i="1"/>
  <c r="D567" i="1"/>
  <c r="D568" i="1"/>
  <c r="D569" i="1"/>
  <c r="D571" i="1"/>
  <c r="D572" i="1"/>
  <c r="D573" i="1"/>
  <c r="D574" i="1"/>
  <c r="D546" i="1"/>
  <c r="D127" i="1"/>
  <c r="D545" i="1"/>
  <c r="D543" i="1"/>
  <c r="D544" i="1"/>
  <c r="D128" i="1"/>
  <c r="D447" i="1"/>
  <c r="D508" i="1"/>
  <c r="D395" i="1"/>
  <c r="D396" i="1"/>
  <c r="D510" i="1"/>
  <c r="D511" i="1"/>
  <c r="D504" i="1"/>
  <c r="D505" i="1"/>
  <c r="D506" i="1"/>
  <c r="D507" i="1"/>
  <c r="D63" i="1"/>
  <c r="D503" i="1"/>
  <c r="D502" i="1"/>
  <c r="D500" i="1"/>
  <c r="D577" i="1"/>
  <c r="D501" i="1"/>
  <c r="D498" i="1"/>
  <c r="D497" i="1"/>
  <c r="D490" i="1"/>
  <c r="D491" i="1"/>
  <c r="D492" i="1"/>
  <c r="D493" i="1"/>
  <c r="D494" i="1"/>
  <c r="D495" i="1"/>
  <c r="D496" i="1"/>
  <c r="D487" i="1"/>
  <c r="D484" i="1"/>
  <c r="D485" i="1"/>
  <c r="D486" i="1"/>
  <c r="D489" i="1"/>
  <c r="D256" i="1"/>
  <c r="D319" i="1"/>
  <c r="D372" i="1"/>
  <c r="D363" i="1"/>
  <c r="D482" i="1"/>
  <c r="D483" i="1"/>
  <c r="D178" i="1"/>
  <c r="D481" i="1"/>
  <c r="D102" i="1"/>
  <c r="D444" i="1"/>
  <c r="D445" i="1"/>
  <c r="D262" i="1"/>
  <c r="D446" i="1"/>
  <c r="D475" i="1"/>
  <c r="D476" i="1"/>
  <c r="D477" i="1"/>
  <c r="D478" i="1"/>
  <c r="D479" i="1"/>
  <c r="D443" i="1"/>
  <c r="D308" i="1"/>
  <c r="D480" i="1"/>
  <c r="D441" i="1"/>
  <c r="D442" i="1"/>
  <c r="D317" i="1"/>
  <c r="D440" i="1"/>
  <c r="D431" i="1"/>
  <c r="D428" i="1"/>
  <c r="D429" i="1"/>
  <c r="D430" i="1"/>
  <c r="D432" i="1"/>
  <c r="D386" i="1"/>
  <c r="D394" i="1"/>
  <c r="D393" i="1"/>
  <c r="D300" i="1"/>
  <c r="D413" i="1"/>
  <c r="D434" i="1"/>
  <c r="D435" i="1"/>
  <c r="D436" i="1"/>
  <c r="D392" i="1"/>
  <c r="D330" i="1"/>
  <c r="D331" i="1"/>
  <c r="D437" i="1"/>
  <c r="D438" i="1"/>
  <c r="D439" i="1"/>
  <c r="D424" i="1"/>
  <c r="D426" i="1"/>
  <c r="D417" i="1"/>
  <c r="D418" i="1"/>
  <c r="D419" i="1"/>
  <c r="D420" i="1"/>
  <c r="D421" i="1"/>
  <c r="D422" i="1"/>
  <c r="D423" i="1"/>
  <c r="D427" i="1"/>
  <c r="D433" i="1"/>
  <c r="D390" i="1"/>
  <c r="D410" i="1"/>
  <c r="D411" i="1"/>
  <c r="D412" i="1"/>
  <c r="D414" i="1"/>
  <c r="D415" i="1"/>
  <c r="D416" i="1"/>
  <c r="D387" i="1"/>
  <c r="D388" i="1"/>
  <c r="D389" i="1"/>
  <c r="D329" i="1"/>
  <c r="D384" i="1"/>
  <c r="D195" i="1"/>
  <c r="D257" i="1"/>
  <c r="D322" i="1"/>
  <c r="D323" i="1"/>
  <c r="D375" i="1"/>
  <c r="D376" i="1"/>
  <c r="D324" i="1"/>
  <c r="D325" i="1"/>
  <c r="D377" i="1"/>
  <c r="D378" i="1"/>
  <c r="D258" i="1"/>
  <c r="D326" i="1"/>
  <c r="D379" i="1"/>
  <c r="D196" i="1"/>
  <c r="D259" i="1"/>
  <c r="D327" i="1"/>
  <c r="D380" i="1"/>
  <c r="D328" i="1"/>
  <c r="D381" i="1"/>
  <c r="D62" i="1"/>
  <c r="D260" i="1"/>
  <c r="D488" i="1"/>
  <c r="D382" i="1"/>
  <c r="D383" i="1"/>
  <c r="D385" i="1"/>
  <c r="D276" i="1"/>
  <c r="D261" i="1"/>
  <c r="D60" i="1"/>
  <c r="D373" i="1"/>
  <c r="D371" i="1"/>
  <c r="D321" i="1"/>
  <c r="D320" i="1"/>
  <c r="D370" i="1"/>
  <c r="D368" i="1"/>
  <c r="D369" i="1"/>
  <c r="D194" i="1"/>
  <c r="D367" i="1"/>
  <c r="D318" i="1"/>
  <c r="D365" i="1"/>
  <c r="D364" i="1"/>
  <c r="D366" i="1"/>
  <c r="D361" i="1"/>
  <c r="D360" i="1"/>
  <c r="D362" i="1"/>
  <c r="D59" i="1"/>
  <c r="D358" i="1"/>
  <c r="D197" i="1"/>
  <c r="D193" i="1"/>
  <c r="D341" i="1"/>
  <c r="D342" i="1"/>
  <c r="D343" i="1"/>
  <c r="D344" i="1"/>
  <c r="D345" i="1"/>
  <c r="D346" i="1"/>
  <c r="D347" i="1"/>
  <c r="D348" i="1"/>
  <c r="D349" i="1"/>
  <c r="D350" i="1"/>
  <c r="D351" i="1"/>
  <c r="D353" i="1"/>
  <c r="D354" i="1"/>
  <c r="D355" i="1"/>
  <c r="D356" i="1"/>
  <c r="D357" i="1"/>
  <c r="D310" i="1"/>
  <c r="D311" i="1"/>
  <c r="D312" i="1"/>
  <c r="D253" i="1"/>
  <c r="D254" i="1"/>
  <c r="D314" i="1"/>
  <c r="D316" i="1"/>
  <c r="D306" i="1"/>
  <c r="D307" i="1"/>
  <c r="D309" i="1"/>
  <c r="D303" i="1"/>
  <c r="D304" i="1"/>
  <c r="D305" i="1"/>
  <c r="D301" i="1"/>
  <c r="D302" i="1"/>
  <c r="D290" i="1"/>
  <c r="D291" i="1"/>
  <c r="D292" i="1"/>
  <c r="D293" i="1"/>
  <c r="D294" i="1"/>
  <c r="D295" i="1"/>
  <c r="D296" i="1"/>
  <c r="D297" i="1"/>
  <c r="D298" i="1"/>
  <c r="D299" i="1"/>
  <c r="D252" i="1"/>
  <c r="D288" i="1"/>
  <c r="D285" i="1"/>
  <c r="D286" i="1"/>
  <c r="D287" i="1"/>
  <c r="D284" i="1"/>
  <c r="D289" i="1"/>
  <c r="D277" i="1"/>
  <c r="D278" i="1"/>
  <c r="D279" i="1"/>
  <c r="D280" i="1"/>
  <c r="D281" i="1"/>
  <c r="D282" i="1"/>
  <c r="D275" i="1"/>
  <c r="D283" i="1"/>
  <c r="D274" i="1"/>
  <c r="D273" i="1"/>
  <c r="D191" i="1"/>
  <c r="D250" i="1"/>
  <c r="D251" i="1"/>
  <c r="D189" i="1"/>
  <c r="D249" i="1"/>
  <c r="D91" i="1"/>
  <c r="D92" i="1"/>
  <c r="D93" i="1"/>
  <c r="D94" i="1"/>
  <c r="D247" i="1"/>
  <c r="D248" i="1"/>
  <c r="D125" i="1"/>
  <c r="D57" i="1"/>
  <c r="D56" i="1"/>
  <c r="D190" i="1"/>
  <c r="D245" i="1"/>
  <c r="D246" i="1"/>
  <c r="D186" i="1"/>
  <c r="D124" i="1"/>
  <c r="D187" i="1"/>
  <c r="D188" i="1"/>
  <c r="D184" i="1"/>
  <c r="D185" i="1"/>
  <c r="D182" i="1"/>
  <c r="D183" i="1"/>
  <c r="D122" i="1"/>
  <c r="D181" i="1"/>
  <c r="D241" i="1"/>
  <c r="D242" i="1"/>
  <c r="D235" i="1"/>
  <c r="D236" i="1"/>
  <c r="D237" i="1"/>
  <c r="D238" i="1"/>
  <c r="D55" i="1"/>
  <c r="D121" i="1"/>
  <c r="D180" i="1"/>
  <c r="D239" i="1"/>
  <c r="D243" i="1"/>
  <c r="D244" i="1"/>
  <c r="D234" i="1"/>
  <c r="D232" i="1"/>
  <c r="D233" i="1"/>
  <c r="D123" i="1"/>
  <c r="D224" i="1"/>
  <c r="D118" i="1"/>
  <c r="D119" i="1"/>
  <c r="D176" i="1"/>
  <c r="D177" i="1"/>
  <c r="D225" i="1"/>
  <c r="D226" i="1"/>
  <c r="D179" i="1"/>
  <c r="D229" i="1"/>
  <c r="D231" i="1"/>
  <c r="D54" i="1"/>
  <c r="D120" i="1"/>
  <c r="D230" i="1"/>
  <c r="D228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7" i="1"/>
  <c r="D117" i="1"/>
  <c r="D211" i="1"/>
  <c r="D210" i="1"/>
  <c r="D116" i="1"/>
  <c r="D206" i="1"/>
  <c r="D207" i="1"/>
  <c r="D208" i="1"/>
  <c r="D205" i="1"/>
  <c r="D209" i="1"/>
  <c r="D175" i="1"/>
  <c r="D173" i="1"/>
  <c r="D204" i="1"/>
  <c r="D174" i="1"/>
  <c r="D165" i="1"/>
  <c r="D103" i="1"/>
  <c r="D71" i="1"/>
  <c r="D46" i="1"/>
  <c r="D53" i="1"/>
  <c r="D104" i="1"/>
  <c r="D166" i="1"/>
  <c r="D51" i="1"/>
  <c r="D160" i="1"/>
  <c r="D161" i="1"/>
  <c r="D162" i="1"/>
  <c r="D163" i="1"/>
  <c r="D164" i="1"/>
  <c r="D105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2" i="1"/>
  <c r="D106" i="1"/>
  <c r="D167" i="1"/>
  <c r="D168" i="1"/>
  <c r="D169" i="1"/>
  <c r="D170" i="1"/>
  <c r="D171" i="1"/>
  <c r="D107" i="1"/>
  <c r="D108" i="1"/>
  <c r="D109" i="1"/>
  <c r="D110" i="1"/>
  <c r="D111" i="1"/>
  <c r="D112" i="1"/>
  <c r="D113" i="1"/>
  <c r="D114" i="1"/>
  <c r="D172" i="1"/>
  <c r="D115" i="1"/>
  <c r="D139" i="1"/>
  <c r="D142" i="1"/>
  <c r="D141" i="1"/>
  <c r="D140" i="1"/>
  <c r="D100" i="1"/>
  <c r="D95" i="1"/>
  <c r="D49" i="1"/>
  <c r="D50" i="1"/>
  <c r="D96" i="1"/>
  <c r="D97" i="1"/>
  <c r="D98" i="1"/>
  <c r="D99" i="1"/>
  <c r="D136" i="1"/>
  <c r="D101" i="1"/>
  <c r="D137" i="1"/>
  <c r="D86" i="1"/>
  <c r="D87" i="1"/>
  <c r="D47" i="1"/>
  <c r="D88" i="1"/>
  <c r="D89" i="1"/>
  <c r="D90" i="1"/>
  <c r="D48" i="1"/>
  <c r="D143" i="1"/>
  <c r="D81" i="1"/>
  <c r="D74" i="1"/>
  <c r="D75" i="1"/>
  <c r="D73" i="1"/>
  <c r="D72" i="1"/>
  <c r="D45" i="1"/>
  <c r="D44" i="1"/>
  <c r="D78" i="1"/>
  <c r="D79" i="1"/>
  <c r="D80" i="1"/>
  <c r="D82" i="1"/>
  <c r="D83" i="1"/>
  <c r="D84" i="1"/>
  <c r="D85" i="1"/>
  <c r="D42" i="1"/>
  <c r="D43" i="1"/>
  <c r="D76" i="1"/>
  <c r="D41" i="1"/>
  <c r="D39" i="1"/>
  <c r="D30" i="1"/>
  <c r="D28" i="1"/>
  <c r="D29" i="1"/>
  <c r="D31" i="1"/>
  <c r="D32" i="1"/>
  <c r="D33" i="1"/>
  <c r="D34" i="1"/>
  <c r="D35" i="1"/>
  <c r="D36" i="1"/>
  <c r="D37" i="1"/>
  <c r="D38" i="1"/>
  <c r="D40" i="1"/>
  <c r="D77" i="1"/>
  <c r="D26" i="1"/>
  <c r="D27" i="1"/>
  <c r="D25" i="1"/>
  <c r="D24" i="1"/>
  <c r="D18" i="1"/>
  <c r="D19" i="1"/>
  <c r="D20" i="1"/>
  <c r="D21" i="1"/>
  <c r="D22" i="1"/>
  <c r="D23" i="1"/>
  <c r="A2" i="1"/>
  <c r="D16" i="1"/>
  <c r="D17" i="1"/>
  <c r="D10" i="1"/>
  <c r="D11" i="1"/>
  <c r="D12" i="1"/>
  <c r="D13" i="1"/>
  <c r="D14" i="1"/>
  <c r="D70" i="1"/>
  <c r="D15" i="1"/>
  <c r="D5" i="1"/>
  <c r="D6" i="1"/>
  <c r="D7" i="1"/>
  <c r="D8" i="1"/>
  <c r="D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Kyasiimire Sandra Marion</author>
  </authors>
  <commentList>
    <comment ref="B602" authorId="0" shapeId="0" xr:uid="{98871561-3A83-4777-9FF3-FFAF574E82A7}">
      <text>
        <r>
          <rPr>
            <sz val="11"/>
            <color theme="1"/>
            <rFont val="Calibri"/>
            <family val="2"/>
            <scheme val="minor"/>
          </rPr>
          <t xml:space="preserve">Kyasiimire Sandra Marion:
</t>
        </r>
      </text>
    </comment>
  </commentList>
</comments>
</file>

<file path=xl/sharedStrings.xml><?xml version="1.0" encoding="utf-8"?>
<sst xmlns="http://schemas.openxmlformats.org/spreadsheetml/2006/main" count="2711" uniqueCount="79">
  <si>
    <t>TIN</t>
  </si>
  <si>
    <t>Operator Category</t>
  </si>
  <si>
    <t>Win/Loss</t>
  </si>
  <si>
    <t>CASINOS</t>
  </si>
  <si>
    <t>Gaming Tax</t>
  </si>
  <si>
    <t>Withholding Tax</t>
  </si>
  <si>
    <t>Total Expected Tax</t>
  </si>
  <si>
    <t>Total Sales</t>
  </si>
  <si>
    <t>Total Payouts</t>
  </si>
  <si>
    <t>Operator Name</t>
  </si>
  <si>
    <t>Quarters</t>
  </si>
  <si>
    <t>Q1</t>
  </si>
  <si>
    <t>GENERAL BETTING</t>
  </si>
  <si>
    <t>Q3</t>
  </si>
  <si>
    <t>Q2</t>
  </si>
  <si>
    <t>Q4</t>
  </si>
  <si>
    <t>SLOT MACHINES</t>
  </si>
  <si>
    <t>BINGO</t>
  </si>
  <si>
    <t>Date</t>
  </si>
  <si>
    <t xml:space="preserve"> -   </t>
  </si>
  <si>
    <t xml:space="preserve"> - </t>
  </si>
  <si>
    <t>SRN</t>
  </si>
  <si>
    <t xml:space="preserve">-   </t>
  </si>
  <si>
    <t>-</t>
  </si>
  <si>
    <t xml:space="preserve"> </t>
  </si>
  <si>
    <t xml:space="preserve">-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</si>
  <si>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</si>
  <si>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</si>
  <si>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</si>
  <si>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</si>
  <si>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</si>
  <si>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</si>
  <si>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</si>
  <si>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</si>
  <si>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</si>
  <si>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</si>
  <si>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</si>
  <si>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</si>
  <si>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</si>
  <si>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</si>
  <si>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</si>
  <si>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</si>
  <si>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</si>
  <si>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</si>
  <si>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</si>
  <si>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</si>
  <si>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</si>
  <si>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</si>
  <si>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</si>
  <si>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</si>
  <si>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</si>
  <si>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</si>
  <si>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</si>
  <si>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</si>
  <si>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</si>
  <si>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</si>
  <si>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</si>
  <si>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</si>
  <si>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</si>
  <si>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</si>
  <si>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</si>
  <si>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</si>
  <si>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</si>
  <si>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</si>
  <si>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</si>
  <si>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</si>
  <si>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</si>
  <si>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</si>
  <si>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</si>
  <si>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</si>
  <si>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</si>
  <si>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</si>
  <si>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</si>
  <si>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</si>
  <si>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Testr 48</t>
  </si>
  <si>
    <t>Test 49</t>
  </si>
  <si>
    <t>Test 50</t>
  </si>
  <si>
    <t>Test 51</t>
  </si>
  <si>
    <t>Test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</si>
</sst>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8" formatCode="&quot;UGX&quot;_(* #,##0_);&quot;UGX&quot;_(* \(#,##0\);&quot;UGX&quot;_(* &quot;-&quot;_);_(@_)"/>
    <numFmt numFmtId="170" formatCode="[$-F800]dddd\,\ mmmm\ dd\,\ yyyy"/>
    <numFmt numFmtId="171" formatCode="0.0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Bookman Old Style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Bookman Old Style"/>
      <family val="1"/>
    </font>
    <font>
      <sz val="9"/>
      <color rgb="FF000000"/>
      <name val="Bookman Old Style"/>
      <family val="1"/>
    </font>
    <font>
      <sz val="11"/>
      <color rgb="FF000000"/>
      <name val="Aptos Narrow"/>
      <family val="2"/>
    </font>
    <font>
      <sz val="9"/>
      <color theme="0"/>
      <name val="Bookman Old Style"/>
      <family val="1"/>
    </font>
    <font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4">
    <xf numFmtId="0" fontId="0" fillId="0" borderId="0" xfId="0"/>
    <xf numFmtId="164" fontId="5" fillId="0" borderId="1" xfId="1" applyNumberFormat="1" applyFont="1" applyFill="1" applyBorder="1"/>
    <xf numFmtId="0" fontId="6" fillId="0" borderId="5" xfId="0" applyNumberFormat="1" applyFont="1" applyFill="1" applyBorder="1" applyAlignment="1">
      <alignment horizontal="right"/>
    </xf>
    <xf numFmtId="164" fontId="5" fillId="0" borderId="1" xfId="0" applyNumberFormat="1" applyFont="1" applyFill="1" applyBorder="1" applyAlignment="1">
      <alignment wrapText="1"/>
    </xf>
    <xf numFmtId="0" fontId="5" fillId="0" borderId="1" xfId="0" applyNumberFormat="1" applyFont="1" applyFill="1" applyBorder="1"/>
    <xf numFmtId="170" fontId="5" fillId="0" borderId="1" xfId="0" applyNumberFormat="1" applyFont="1" applyFill="1" applyBorder="1"/>
    <xf numFmtId="164" fontId="5" fillId="0" borderId="1" xfId="0" applyNumberFormat="1" applyFont="1" applyFill="1" applyBorder="1"/>
    <xf numFmtId="164" fontId="6" fillId="0" borderId="1" xfId="0" applyNumberFormat="1" applyFont="1" applyFill="1" applyBorder="1" applyAlignment="1">
      <alignment horizontal="right"/>
    </xf>
    <xf numFmtId="164" fontId="6" fillId="0" borderId="6" xfId="0" applyNumberFormat="1" applyFont="1" applyFill="1" applyBorder="1" applyAlignment="1">
      <alignment horizontal="right"/>
    </xf>
    <xf numFmtId="0" fontId="8" fillId="0" borderId="2" xfId="0" applyFont="1" applyFill="1" applyBorder="1"/>
    <xf numFmtId="164" fontId="8" fillId="0" borderId="3" xfId="0" applyNumberFormat="1" applyFont="1" applyFill="1" applyBorder="1"/>
    <xf numFmtId="1" fontId="8" fillId="0" borderId="3" xfId="0" applyNumberFormat="1" applyFont="1" applyFill="1" applyBorder="1"/>
    <xf numFmtId="170" fontId="8" fillId="0" borderId="3" xfId="0" applyNumberFormat="1" applyFont="1" applyFill="1" applyBorder="1"/>
    <xf numFmtId="164" fontId="8" fillId="0" borderId="3" xfId="0" applyNumberFormat="1" applyFont="1" applyFill="1" applyBorder="1" applyAlignment="1">
      <alignment horizontal="right"/>
    </xf>
    <xf numFmtId="164" fontId="8" fillId="0" borderId="4" xfId="0" applyNumberFormat="1" applyFont="1" applyFill="1" applyBorder="1" applyAlignment="1">
      <alignment horizontal="right"/>
    </xf>
    <xf numFmtId="165" fontId="15" fillId="0" borderId="0" xfId="0" applyNumberFormat="1" applyFont="1" applyFill="1"/>
    <xf numFmtId="165" fontId="9" fillId="0" borderId="0" xfId="0" applyNumberFormat="1" applyFont="1" applyFill="1"/>
    <xf numFmtId="164" fontId="9" fillId="0" borderId="0" xfId="0" applyNumberFormat="1" applyFont="1" applyFill="1"/>
    <xf numFmtId="0" fontId="6" fillId="0" borderId="5" xfId="0" applyFont="1" applyFill="1" applyBorder="1" applyAlignment="1">
      <alignment horizontal="right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6" fillId="0" borderId="1" xfId="0" applyFont="1" applyFill="1" applyBorder="1"/>
    <xf numFmtId="164" fontId="5" fillId="0" borderId="6" xfId="0" applyNumberFormat="1" applyFont="1" applyFill="1" applyBorder="1" applyAlignment="1">
      <alignment horizontal="right"/>
    </xf>
    <xf numFmtId="0" fontId="2" fillId="0" borderId="0" xfId="0" applyFont="1" applyFill="1"/>
    <xf numFmtId="164" fontId="10" fillId="0" borderId="1" xfId="0" applyNumberFormat="1" applyFont="1" applyFill="1" applyBorder="1"/>
    <xf numFmtId="164" fontId="6" fillId="0" borderId="1" xfId="0" applyNumberFormat="1" applyFont="1" applyFill="1" applyBorder="1" applyAlignment="1">
      <alignment horizontal="right" wrapText="1"/>
    </xf>
    <xf numFmtId="168" fontId="16" fillId="0" borderId="0" xfId="0" applyNumberFormat="1" applyFont="1" applyFill="1"/>
    <xf numFmtId="0" fontId="4" fillId="0" borderId="0" xfId="0" applyFont="1" applyFill="1"/>
    <xf numFmtId="164" fontId="6" fillId="0" borderId="6" xfId="0" applyNumberFormat="1" applyFont="1" applyFill="1" applyBorder="1" applyAlignment="1">
      <alignment horizontal="right" wrapText="1"/>
    </xf>
    <xf numFmtId="164" fontId="11" fillId="0" borderId="1" xfId="0" applyNumberFormat="1" applyFont="1" applyFill="1" applyBorder="1"/>
    <xf numFmtId="164" fontId="6" fillId="0" borderId="9" xfId="0" applyNumberFormat="1" applyFont="1" applyFill="1" applyBorder="1" applyAlignment="1">
      <alignment horizontal="right"/>
    </xf>
    <xf numFmtId="164" fontId="6" fillId="0" borderId="10" xfId="0" applyNumberFormat="1" applyFont="1" applyFill="1" applyBorder="1" applyAlignment="1">
      <alignment horizontal="right"/>
    </xf>
    <xf numFmtId="164" fontId="6" fillId="0" borderId="11" xfId="0" applyNumberFormat="1" applyFont="1" applyFill="1" applyBorder="1" applyAlignment="1">
      <alignment horizontal="right"/>
    </xf>
    <xf numFmtId="164" fontId="11" fillId="0" borderId="6" xfId="0" applyNumberFormat="1" applyFont="1" applyFill="1" applyBorder="1"/>
    <xf numFmtId="164" fontId="6" fillId="0" borderId="12" xfId="0" applyNumberFormat="1" applyFont="1" applyFill="1" applyBorder="1" applyAlignment="1">
      <alignment horizontal="right"/>
    </xf>
    <xf numFmtId="1" fontId="5" fillId="0" borderId="1" xfId="0" applyNumberFormat="1" applyFont="1" applyFill="1" applyBorder="1"/>
    <xf numFmtId="164" fontId="6" fillId="0" borderId="1" xfId="0" applyNumberFormat="1" applyFont="1" applyFill="1" applyBorder="1"/>
    <xf numFmtId="164" fontId="6" fillId="0" borderId="6" xfId="0" applyNumberFormat="1" applyFont="1" applyFill="1" applyBorder="1"/>
    <xf numFmtId="164" fontId="6" fillId="0" borderId="5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164" fontId="12" fillId="0" borderId="6" xfId="0" applyNumberFormat="1" applyFont="1" applyFill="1" applyBorder="1"/>
    <xf numFmtId="165" fontId="2" fillId="0" borderId="0" xfId="0" applyNumberFormat="1" applyFont="1" applyFill="1"/>
    <xf numFmtId="164" fontId="2" fillId="0" borderId="0" xfId="0" applyNumberFormat="1" applyFont="1" applyFill="1"/>
    <xf numFmtId="164" fontId="13" fillId="0" borderId="1" xfId="0" applyNumberFormat="1" applyFont="1" applyFill="1" applyBorder="1"/>
    <xf numFmtId="164" fontId="13" fillId="0" borderId="6" xfId="0" applyNumberFormat="1" applyFont="1" applyFill="1" applyBorder="1"/>
    <xf numFmtId="170" fontId="6" fillId="0" borderId="1" xfId="0" applyNumberFormat="1" applyFont="1" applyFill="1" applyBorder="1"/>
    <xf numFmtId="164" fontId="6" fillId="0" borderId="1" xfId="0" applyNumberFormat="1" applyFont="1" applyFill="1" applyBorder="1" applyAlignment="1">
      <alignment wrapText="1"/>
    </xf>
    <xf numFmtId="1" fontId="6" fillId="0" borderId="1" xfId="0" applyNumberFormat="1" applyFont="1" applyFill="1" applyBorder="1"/>
    <xf numFmtId="4" fontId="14" fillId="0" borderId="1" xfId="0" applyNumberFormat="1" applyFont="1" applyFill="1" applyBorder="1"/>
    <xf numFmtId="164" fontId="6" fillId="0" borderId="0" xfId="0" applyNumberFormat="1" applyFont="1" applyFill="1" applyAlignment="1">
      <alignment horizontal="right"/>
    </xf>
    <xf numFmtId="165" fontId="6" fillId="0" borderId="1" xfId="0" applyNumberFormat="1" applyFont="1" applyFill="1" applyBorder="1" applyAlignment="1">
      <alignment horizontal="right"/>
    </xf>
    <xf numFmtId="165" fontId="16" fillId="0" borderId="0" xfId="0" applyNumberFormat="1" applyFont="1" applyFill="1"/>
    <xf numFmtId="0" fontId="5" fillId="0" borderId="7" xfId="0" applyFont="1" applyFill="1" applyBorder="1" applyAlignment="1">
      <alignment horizontal="right"/>
    </xf>
    <xf numFmtId="164" fontId="5" fillId="0" borderId="8" xfId="0" applyNumberFormat="1" applyFont="1" applyFill="1" applyBorder="1"/>
    <xf numFmtId="1" fontId="5" fillId="0" borderId="8" xfId="0" applyNumberFormat="1" applyFont="1" applyFill="1" applyBorder="1"/>
    <xf numFmtId="170" fontId="5" fillId="0" borderId="8" xfId="0" applyNumberFormat="1" applyFont="1" applyFill="1" applyBorder="1"/>
    <xf numFmtId="164" fontId="5" fillId="0" borderId="8" xfId="0" applyNumberFormat="1" applyFont="1" applyFill="1" applyBorder="1" applyAlignment="1">
      <alignment horizontal="right"/>
    </xf>
    <xf numFmtId="164" fontId="0" fillId="0" borderId="0" xfId="0" applyNumberFormat="1" applyFill="1"/>
    <xf numFmtId="1" fontId="2" fillId="0" borderId="0" xfId="0" applyNumberFormat="1" applyFont="1" applyFill="1"/>
    <xf numFmtId="170" fontId="2" fillId="0" borderId="0" xfId="0" applyNumberFormat="1" applyFont="1" applyFill="1"/>
    <xf numFmtId="171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9" fontId="7" fillId="0" borderId="1" xfId="0" applyNumberFormat="1" applyFont="1" applyFill="1" applyBorder="1" applyAlignment="1">
      <alignment horizontal="right"/>
    </xf>
  </cellXfs>
  <cellStyles count="2">
    <cellStyle name="Comma [0]" xfId="1" builtinId="6"/>
    <cellStyle name="Normal" xfId="0" builtinId="0"/>
  </cellStyles>
  <dxfs count="30"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70" formatCode="[$-F800]dddd\,\ mmmm\ dd\,\ 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170" formatCode="[$-F800]dddd\,\ mmmm\ dd\,\ 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AFFDF30-95C9-4662-8656-BCBEB4276E7D}">
    <nsvFilter filterId="{13939824-00DD-47BB-80EA-1742D7870B70}" ref="A1:L823" tableId="1"/>
  </namedSheetView>
  <namedSheetView name="View2" id="{30BD98FC-EF63-4457-8A31-6209E67C4A91}">
    <nsvFilter filterId="{13939824-00DD-47BB-80EA-1742D7870B70}" ref="A1:L823" tableId="1">
      <sortRules>
        <sortRule colId="5" id="{CA00E933-8AF0-4DEB-95C1-D2FD34B44BD3}">
          <sortCondition ref="F1:F823"/>
        </sortRule>
      </sortRules>
    </nsvFilter>
  </namedSheetView>
  <namedSheetView name="View3" id="{178C7D5F-92EE-4460-9619-AD8F4DBE34E5}">
    <nsvFilter filterId="{13939824-00DD-47BB-80EA-1742D7870B70}" ref="A1:L823" tableId="1">
      <columnFilter colId="2" id="{F097DA02-85CC-4D29-918C-45797E29313C}">
        <filter colId="2">
          <x:filters>
            <x:filter val="Quick Ventures Limited"/>
          </x:filters>
        </filter>
      </columnFilter>
      <sortRules>
        <sortRule colId="5" id="{CA00E933-8AF0-4DEB-95C1-D2FD34B44BD3}">
          <sortCondition ref="F1:F823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39824-00DD-47BB-80EA-1742D7870B70}" name="OPERATORS" displayName="OPERATORS" ref="A1:L824" totalsRowCount="1" headerRowDxfId="2" dataDxfId="0" totalsRowDxfId="1" headerRowBorderDxfId="29" tableBorderDxfId="28" totalsRowBorderDxfId="27">
  <autoFilter ref="A1:L823" xr:uid="{13939824-00DD-47BB-80EA-1742D7870B70}"/>
  <sortState xmlns:xlrd2="http://schemas.microsoft.com/office/spreadsheetml/2017/richdata2" ref="A65:L796">
    <sortCondition ref="E1:E816"/>
  </sortState>
  <tableColumns count="12">
    <tableColumn id="13" xr3:uid="{302A9CDF-AFA5-4B6E-AC4E-7AD695235360}" name="SRN" dataDxfId="26" totalsRowDxfId="25">
      <calculatedColumnFormula>ROW(A1)</calculatedColumnFormula>
    </tableColumn>
    <tableColumn id="12" xr3:uid="{581EB597-7099-4292-89BA-06D3698E96B4}" name="Operator Category" dataDxfId="24" totalsRowDxfId="23"/>
    <tableColumn id="1" xr3:uid="{F097DA02-85CC-4D29-918C-45797E29313C}" name="Operator Name" dataDxfId="22" totalsRowDxfId="21"/>
    <tableColumn id="11" xr3:uid="{8AE2AEB6-7383-4A05-9677-4369C886A315}" name="TIN" dataDxfId="20" totalsRowDxfId="19">
      <calculatedColumnFormula>IFERROR(VLOOKUP(C2,OPerators_Range,2,FALSE),"")</calculatedColumnFormula>
    </tableColumn>
    <tableColumn id="2" xr3:uid="{D2D80BE9-704C-405F-914B-EA32FE498677}" name="Date" dataDxfId="18" totalsRowDxfId="17"/>
    <tableColumn id="4" xr3:uid="{CA00E933-8AF0-4DEB-95C1-D2FD34B44BD3}" name="Quarters" dataDxfId="16" totalsRowDxfId="15"/>
    <tableColumn id="5" xr3:uid="{A4704C30-EFA1-46D4-84BD-37EB9E33F97A}" name="Total Sales" totalsRowFunction="custom" dataDxfId="14" totalsRowDxfId="13">
      <totalsRowFormula>SUBTOTAL(9,G2:G823)</totalsRowFormula>
    </tableColumn>
    <tableColumn id="6" xr3:uid="{760501DD-D51C-4394-AB86-ED3585F11BA4}" name="Total Payouts" totalsRowFunction="custom" dataDxfId="12" totalsRowDxfId="11">
      <totalsRowFormula>SUBTOTAL(9,H2:H823)</totalsRowFormula>
    </tableColumn>
    <tableColumn id="7" xr3:uid="{F4AF40AD-7037-4475-AB16-AEC4F6B1EC0F}" name="Win/Loss" totalsRowFunction="custom" dataDxfId="10" totalsRowDxfId="9">
      <totalsRowFormula>SUBTOTAL(9,I2:I823)</totalsRowFormula>
    </tableColumn>
    <tableColumn id="8" xr3:uid="{3F2889A1-9282-454D-AD2C-5AF4012925CB}" name="Withholding Tax" totalsRowFunction="custom" dataDxfId="8" totalsRowDxfId="7">
      <totalsRowFormula>SUBTOTAL(9,J2:J823)</totalsRowFormula>
    </tableColumn>
    <tableColumn id="9" xr3:uid="{B6AD86DF-6A26-4DAF-B81C-96F98FF5C197}" name="Gaming Tax" totalsRowFunction="custom" dataDxfId="6" totalsRowDxfId="5">
      <totalsRowFormula>SUBTOTAL(9,K2:K823)</totalsRowFormula>
    </tableColumn>
    <tableColumn id="10" xr3:uid="{316347C7-5429-4661-A805-FD7BCD7E0931}" name="Total Expected Tax" totalsRowFunction="custom" dataDxfId="4" totalsRowDxfId="3">
      <totalsRowFormula>SUBTOTAL(9,L2:L823)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0869-DFD6-470C-8E8A-AB5E0F9D3996}">
  <sheetPr>
    <pageSetUpPr fitToPage="1"/>
  </sheetPr>
  <dimension ref="A1:N835"/>
  <sheetViews>
    <sheetView tabSelected="1" topLeftCell="B1" zoomScale="93" zoomScaleNormal="93" workbookViewId="0">
      <selection activeCell="F1" sqref="F1:F1048576"/>
    </sheetView>
  </sheetViews>
  <sheetFormatPr defaultColWidth="8.7265625" defaultRowHeight="15" customHeight="1" x14ac:dyDescent="0.35"/>
  <cols>
    <col min="1" max="1" width="7.81640625" style="23" hidden="1" customWidth="1"/>
    <col min="2" max="2" width="22.54296875" style="42" customWidth="1"/>
    <col min="3" max="3" width="17.1796875" style="57" bestFit="1" customWidth="1"/>
    <col min="4" max="4" width="9.90625" style="58" bestFit="1" customWidth="1"/>
    <col min="5" max="5" width="29.453125" style="59" customWidth="1"/>
    <col min="6" max="6" width="7.7265625" style="42" customWidth="1"/>
    <col min="7" max="8" width="19.36328125" style="61" bestFit="1" customWidth="1"/>
    <col min="9" max="10" width="17.81640625" style="61" bestFit="1" customWidth="1"/>
    <col min="11" max="11" width="21" style="61" customWidth="1"/>
    <col min="12" max="12" width="17.90625" style="61" bestFit="1" customWidth="1"/>
    <col min="13" max="13" width="18" style="51" customWidth="1"/>
    <col min="14" max="14" width="35.1796875" style="41" bestFit="1" customWidth="1"/>
    <col min="15" max="16384" width="8.7265625" style="42"/>
  </cols>
  <sheetData>
    <row r="1" spans="1:14" s="17" customFormat="1" ht="14" x14ac:dyDescent="0.3">
      <c r="A1" s="9" t="s">
        <v>21</v>
      </c>
      <c r="B1" s="10" t="s">
        <v>1</v>
      </c>
      <c r="C1" s="10" t="s">
        <v>9</v>
      </c>
      <c r="D1" s="11" t="s">
        <v>0</v>
      </c>
      <c r="E1" s="12" t="s">
        <v>18</v>
      </c>
      <c r="F1" s="10" t="s">
        <v>10</v>
      </c>
      <c r="G1" s="13" t="s">
        <v>7</v>
      </c>
      <c r="H1" s="13" t="s">
        <v>8</v>
      </c>
      <c r="I1" s="13" t="s">
        <v>2</v>
      </c>
      <c r="J1" s="13" t="s">
        <v>5</v>
      </c>
      <c r="K1" s="13" t="s">
        <v>4</v>
      </c>
      <c r="L1" s="14" t="s">
        <v>6</v>
      </c>
      <c r="M1" s="15"/>
      <c r="N1" s="16"/>
    </row>
    <row r="2" spans="1:14" s="23" customFormat="1" ht="14" x14ac:dyDescent="0.3">
      <c r="A2" s="18">
        <f>ROW(A1)</f>
        <v>1</v>
      </c>
      <c r="B2" s="19" t="s">
        <v>12</v>
      </c>
      <c r="C2" s="20" t="s">
        <v>37</v>
      </c>
      <c r="D2" s="21" t="str">
        <f t="shared" ref="D2:D33" si="0">IFERROR(VLOOKUP(C2,OPerators_Range,2,FALSE),"")</f>
        <v/>
      </c>
      <c r="E2" s="5">
        <v>45504</v>
      </c>
      <c r="F2" s="20" t="s">
        <v>11</v>
      </c>
      <c r="G2" s="7">
        <v>663987813</v>
      </c>
      <c r="H2" s="7">
        <v>535812222</v>
      </c>
      <c r="I2" s="7">
        <f>OPERATORS[[#This Row],[Total Sales]]-OPERATORS[[#This Row],[Total Payouts]]</f>
        <v>128175591</v>
      </c>
      <c r="J2" s="7">
        <v>80371833</v>
      </c>
      <c r="K2" s="7">
        <v>28054484</v>
      </c>
      <c r="L2" s="22">
        <f>OPERATORS[[#This Row],[Withholding Tax]]+OPERATORS[[#This Row],[Gaming Tax]]</f>
        <v>108426317</v>
      </c>
    </row>
    <row r="3" spans="1:14" s="23" customFormat="1" ht="17.25" customHeight="1" x14ac:dyDescent="0.3">
      <c r="A3" s="18">
        <v>2</v>
      </c>
      <c r="B3" s="19" t="s">
        <v>12</v>
      </c>
      <c r="C3" s="20" t="s">
        <v>50</v>
      </c>
      <c r="D3" s="21" t="str">
        <f t="shared" si="0"/>
        <v/>
      </c>
      <c r="E3" s="5">
        <v>45504</v>
      </c>
      <c r="F3" s="20" t="s">
        <v>11</v>
      </c>
      <c r="G3" s="7">
        <v>18574854</v>
      </c>
      <c r="H3" s="7">
        <v>3162629</v>
      </c>
      <c r="I3" s="7">
        <f>OPERATORS[[#This Row],[Total Sales]]-OPERATORS[[#This Row],[Total Payouts]]</f>
        <v>15412225</v>
      </c>
      <c r="J3" s="7">
        <v>474394</v>
      </c>
      <c r="K3" s="7">
        <v>3082445</v>
      </c>
      <c r="L3" s="24">
        <v>3556839</v>
      </c>
    </row>
    <row r="4" spans="1:14" s="23" customFormat="1" ht="14" x14ac:dyDescent="0.3">
      <c r="A4" s="18">
        <f>ROW(A3)</f>
        <v>3</v>
      </c>
      <c r="B4" s="19" t="s">
        <v>3</v>
      </c>
      <c r="C4" s="20" t="s">
        <v>53</v>
      </c>
      <c r="D4" s="21" t="str">
        <f t="shared" si="0"/>
        <v/>
      </c>
      <c r="E4" s="5">
        <v>45504</v>
      </c>
      <c r="F4" s="20" t="s">
        <v>11</v>
      </c>
      <c r="G4" s="7">
        <v>485999000</v>
      </c>
      <c r="H4" s="7">
        <v>357380000</v>
      </c>
      <c r="I4" s="7">
        <f>OPERATORS[[#This Row],[Total Sales]]-OPERATORS[[#This Row],[Total Payouts]]</f>
        <v>128619000</v>
      </c>
      <c r="J4" s="7">
        <v>0</v>
      </c>
      <c r="K4" s="7">
        <v>49267950</v>
      </c>
      <c r="L4" s="24">
        <v>49267950</v>
      </c>
    </row>
    <row r="5" spans="1:14" s="23" customFormat="1" ht="14" x14ac:dyDescent="0.3">
      <c r="A5" s="18">
        <v>3</v>
      </c>
      <c r="B5" s="19" t="s">
        <v>3</v>
      </c>
      <c r="C5" s="20" t="s">
        <v>63</v>
      </c>
      <c r="D5" s="21" t="str">
        <f t="shared" si="0"/>
        <v/>
      </c>
      <c r="E5" s="5">
        <v>45504</v>
      </c>
      <c r="F5" s="20" t="s">
        <v>11</v>
      </c>
      <c r="G5" s="7">
        <v>511051000</v>
      </c>
      <c r="H5" s="7">
        <v>257470000</v>
      </c>
      <c r="I5" s="7">
        <f>OPERATORS[[#This Row],[Total Sales]]-OPERATORS[[#This Row],[Total Payouts]]</f>
        <v>253581000</v>
      </c>
      <c r="J5" s="7">
        <v>0</v>
      </c>
      <c r="K5" s="7">
        <v>82696050</v>
      </c>
      <c r="L5" s="22">
        <v>82696050</v>
      </c>
    </row>
    <row r="6" spans="1:14" s="23" customFormat="1" ht="14" x14ac:dyDescent="0.3">
      <c r="A6" s="18">
        <f>ROW(A5)</f>
        <v>5</v>
      </c>
      <c r="B6" s="19" t="s">
        <v>16</v>
      </c>
      <c r="C6" s="20" t="s">
        <v>61</v>
      </c>
      <c r="D6" s="21" t="str">
        <f t="shared" si="0"/>
        <v/>
      </c>
      <c r="E6" s="5">
        <v>45504</v>
      </c>
      <c r="F6" s="20" t="s">
        <v>11</v>
      </c>
      <c r="G6" s="25">
        <v>551694000</v>
      </c>
      <c r="H6" s="7">
        <v>460519000</v>
      </c>
      <c r="I6" s="7">
        <f>OPERATORS[[#This Row],[Total Sales]]-OPERATORS[[#This Row],[Total Payouts]]</f>
        <v>91175000</v>
      </c>
      <c r="J6" s="7">
        <v>0</v>
      </c>
      <c r="K6" s="7">
        <v>27352500</v>
      </c>
      <c r="L6" s="22">
        <v>27352500</v>
      </c>
      <c r="M6" s="26"/>
    </row>
    <row r="7" spans="1:14" s="27" customFormat="1" ht="15.5" x14ac:dyDescent="0.35">
      <c r="A7" s="18">
        <v>4</v>
      </c>
      <c r="B7" s="19" t="s">
        <v>12</v>
      </c>
      <c r="C7" s="20" t="s">
        <v>61</v>
      </c>
      <c r="D7" s="20" t="str">
        <f t="shared" si="0"/>
        <v/>
      </c>
      <c r="E7" s="5">
        <v>45504</v>
      </c>
      <c r="F7" s="20" t="s">
        <v>11</v>
      </c>
      <c r="G7" s="7">
        <v>667406500</v>
      </c>
      <c r="H7" s="7">
        <v>326552200</v>
      </c>
      <c r="I7" s="7">
        <f>OPERATORS[[#This Row],[Total Sales]]-OPERATORS[[#This Row],[Total Payouts]]</f>
        <v>340854300</v>
      </c>
      <c r="J7" s="7">
        <v>48982830</v>
      </c>
      <c r="K7" s="7">
        <v>68170860</v>
      </c>
      <c r="L7" s="8">
        <v>117153690</v>
      </c>
      <c r="M7" s="26"/>
    </row>
    <row r="8" spans="1:14" s="27" customFormat="1" ht="19.5" customHeight="1" x14ac:dyDescent="0.35">
      <c r="A8" s="18">
        <f>ROW(A7)</f>
        <v>7</v>
      </c>
      <c r="B8" s="19" t="s">
        <v>17</v>
      </c>
      <c r="C8" s="20" t="s">
        <v>62</v>
      </c>
      <c r="D8" s="20" t="str">
        <f t="shared" si="0"/>
        <v/>
      </c>
      <c r="E8" s="5">
        <v>45504</v>
      </c>
      <c r="F8" s="20" t="s">
        <v>11</v>
      </c>
      <c r="G8" s="7">
        <v>326276000</v>
      </c>
      <c r="H8" s="7">
        <v>178188355</v>
      </c>
      <c r="I8" s="7">
        <f>OPERATORS[[#This Row],[Total Sales]]-OPERATORS[[#This Row],[Total Payouts]]</f>
        <v>148087645</v>
      </c>
      <c r="J8" s="7">
        <v>0</v>
      </c>
      <c r="K8" s="7">
        <v>55518670</v>
      </c>
      <c r="L8" s="8">
        <v>55518670</v>
      </c>
    </row>
    <row r="9" spans="1:14" s="23" customFormat="1" ht="14" x14ac:dyDescent="0.3">
      <c r="A9" s="18">
        <v>5</v>
      </c>
      <c r="B9" s="19" t="s">
        <v>16</v>
      </c>
      <c r="C9" s="20" t="s">
        <v>46</v>
      </c>
      <c r="D9" s="20" t="str">
        <f t="shared" si="0"/>
        <v/>
      </c>
      <c r="E9" s="5">
        <v>45504</v>
      </c>
      <c r="F9" s="20" t="s">
        <v>11</v>
      </c>
      <c r="G9" s="7">
        <v>1976006520</v>
      </c>
      <c r="H9" s="7">
        <v>1781668261</v>
      </c>
      <c r="I9" s="7">
        <f>OPERATORS[[#This Row],[Total Sales]]-OPERATORS[[#This Row],[Total Payouts]]</f>
        <v>194338259</v>
      </c>
      <c r="J9" s="7">
        <v>0</v>
      </c>
      <c r="K9" s="7">
        <v>59157903</v>
      </c>
      <c r="L9" s="8">
        <v>59157903</v>
      </c>
    </row>
    <row r="10" spans="1:14" s="23" customFormat="1" ht="18" customHeight="1" x14ac:dyDescent="0.3">
      <c r="A10" s="18">
        <f>ROW(A9)</f>
        <v>9</v>
      </c>
      <c r="B10" s="19" t="s">
        <v>12</v>
      </c>
      <c r="C10" s="20" t="s">
        <v>46</v>
      </c>
      <c r="D10" s="20" t="str">
        <f t="shared" si="0"/>
        <v/>
      </c>
      <c r="E10" s="5">
        <v>45504</v>
      </c>
      <c r="F10" s="20" t="s">
        <v>11</v>
      </c>
      <c r="G10" s="7">
        <v>227834701</v>
      </c>
      <c r="H10" s="7">
        <v>106675950</v>
      </c>
      <c r="I10" s="7">
        <f>OPERATORS[[#This Row],[Total Sales]]-OPERATORS[[#This Row],[Total Payouts]]</f>
        <v>121158751</v>
      </c>
      <c r="J10" s="7">
        <v>16001393</v>
      </c>
      <c r="K10" s="7">
        <v>24231750</v>
      </c>
      <c r="L10" s="8">
        <v>40233143</v>
      </c>
    </row>
    <row r="11" spans="1:14" s="23" customFormat="1" ht="14" x14ac:dyDescent="0.3">
      <c r="A11" s="18">
        <v>6</v>
      </c>
      <c r="B11" s="19" t="s">
        <v>12</v>
      </c>
      <c r="C11" s="20" t="s">
        <v>64</v>
      </c>
      <c r="D11" s="20" t="str">
        <f t="shared" si="0"/>
        <v/>
      </c>
      <c r="E11" s="5">
        <v>45504</v>
      </c>
      <c r="F11" s="20" t="s">
        <v>11</v>
      </c>
      <c r="G11" s="7">
        <v>292270952</v>
      </c>
      <c r="H11" s="7">
        <v>143277593</v>
      </c>
      <c r="I11" s="7">
        <f>OPERATORS[[#This Row],[Total Sales]]-OPERATORS[[#This Row],[Total Payouts]]</f>
        <v>148993359</v>
      </c>
      <c r="J11" s="7">
        <v>21491639</v>
      </c>
      <c r="K11" s="7">
        <v>29798672</v>
      </c>
      <c r="L11" s="8">
        <v>51290311</v>
      </c>
    </row>
    <row r="12" spans="1:14" s="23" customFormat="1" ht="14" x14ac:dyDescent="0.3">
      <c r="A12" s="18">
        <f>ROW(A11)</f>
        <v>11</v>
      </c>
      <c r="B12" s="19" t="s">
        <v>3</v>
      </c>
      <c r="C12" s="20" t="s">
        <v>64</v>
      </c>
      <c r="D12" s="20" t="str">
        <f t="shared" si="0"/>
        <v/>
      </c>
      <c r="E12" s="5">
        <v>45504</v>
      </c>
      <c r="F12" s="20" t="s">
        <v>11</v>
      </c>
      <c r="G12" s="7">
        <v>369389044</v>
      </c>
      <c r="H12" s="7">
        <v>242782827</v>
      </c>
      <c r="I12" s="7">
        <f>OPERATORS[[#This Row],[Total Sales]]-OPERATORS[[#This Row],[Total Payouts]]</f>
        <v>126606217</v>
      </c>
      <c r="J12" s="7">
        <v>0</v>
      </c>
      <c r="K12" s="7">
        <v>37981865</v>
      </c>
      <c r="L12" s="8">
        <v>37981865</v>
      </c>
    </row>
    <row r="13" spans="1:14" s="23" customFormat="1" ht="14" x14ac:dyDescent="0.3">
      <c r="A13" s="18">
        <v>7</v>
      </c>
      <c r="B13" s="19" t="s">
        <v>12</v>
      </c>
      <c r="C13" s="20" t="s">
        <v>42</v>
      </c>
      <c r="D13" s="20" t="str">
        <f t="shared" si="0"/>
        <v/>
      </c>
      <c r="E13" s="5">
        <v>45504</v>
      </c>
      <c r="F13" s="20" t="s">
        <v>11</v>
      </c>
      <c r="G13" s="7">
        <v>18435565</v>
      </c>
      <c r="H13" s="7">
        <v>6309713</v>
      </c>
      <c r="I13" s="7">
        <f>OPERATORS[[#This Row],[Total Sales]]-OPERATORS[[#This Row],[Total Payouts]]</f>
        <v>12125852</v>
      </c>
      <c r="J13" s="7">
        <v>946457</v>
      </c>
      <c r="K13" s="7">
        <v>2425170</v>
      </c>
      <c r="L13" s="8">
        <v>3371627</v>
      </c>
    </row>
    <row r="14" spans="1:14" s="23" customFormat="1" ht="14" x14ac:dyDescent="0.3">
      <c r="A14" s="18">
        <f>ROW(A13)</f>
        <v>13</v>
      </c>
      <c r="B14" s="19" t="s">
        <v>3</v>
      </c>
      <c r="C14" s="20" t="s">
        <v>42</v>
      </c>
      <c r="D14" s="20" t="str">
        <f t="shared" si="0"/>
        <v/>
      </c>
      <c r="E14" s="5">
        <v>45504</v>
      </c>
      <c r="F14" s="20" t="s">
        <v>11</v>
      </c>
      <c r="G14" s="7">
        <v>3019582</v>
      </c>
      <c r="H14" s="7">
        <v>2015266</v>
      </c>
      <c r="I14" s="7">
        <f>OPERATORS[[#This Row],[Total Sales]]-OPERATORS[[#This Row],[Total Payouts]]</f>
        <v>1004316</v>
      </c>
      <c r="J14" s="7">
        <v>0</v>
      </c>
      <c r="K14" s="7">
        <v>301295</v>
      </c>
      <c r="L14" s="8">
        <v>301295</v>
      </c>
    </row>
    <row r="15" spans="1:14" s="23" customFormat="1" ht="14" x14ac:dyDescent="0.3">
      <c r="A15" s="18">
        <f>ROW(A14)</f>
        <v>14</v>
      </c>
      <c r="B15" s="19" t="s">
        <v>16</v>
      </c>
      <c r="C15" s="20" t="s">
        <v>38</v>
      </c>
      <c r="D15" s="20" t="str">
        <f t="shared" si="0"/>
        <v/>
      </c>
      <c r="E15" s="5">
        <v>45504</v>
      </c>
      <c r="F15" s="20" t="s">
        <v>11</v>
      </c>
      <c r="G15" s="25">
        <v>108424000</v>
      </c>
      <c r="H15" s="7">
        <v>90546025</v>
      </c>
      <c r="I15" s="7">
        <f>OPERATORS[[#This Row],[Total Sales]]-OPERATORS[[#This Row],[Total Payouts]]</f>
        <v>17877975</v>
      </c>
      <c r="J15" s="7">
        <v>0</v>
      </c>
      <c r="K15" s="7">
        <v>5363393</v>
      </c>
      <c r="L15" s="8">
        <v>5363393</v>
      </c>
    </row>
    <row r="16" spans="1:14" s="23" customFormat="1" ht="14" x14ac:dyDescent="0.3">
      <c r="A16" s="18">
        <v>9</v>
      </c>
      <c r="B16" s="19" t="s">
        <v>16</v>
      </c>
      <c r="C16" s="20" t="s">
        <v>47</v>
      </c>
      <c r="D16" s="20" t="str">
        <f t="shared" si="0"/>
        <v/>
      </c>
      <c r="E16" s="5">
        <v>45504</v>
      </c>
      <c r="F16" s="20" t="s">
        <v>11</v>
      </c>
      <c r="G16" s="7">
        <v>114271400</v>
      </c>
      <c r="H16" s="7">
        <v>52000480</v>
      </c>
      <c r="I16" s="7">
        <f>OPERATORS[[#This Row],[Total Sales]]-OPERATORS[[#This Row],[Total Payouts]]</f>
        <v>62270920</v>
      </c>
      <c r="J16" s="7">
        <v>0</v>
      </c>
      <c r="K16" s="7">
        <v>18681276</v>
      </c>
      <c r="L16" s="8">
        <v>18681276</v>
      </c>
    </row>
    <row r="17" spans="1:12" s="23" customFormat="1" ht="14" x14ac:dyDescent="0.3">
      <c r="A17" s="18">
        <f>ROW(A16)</f>
        <v>16</v>
      </c>
      <c r="B17" s="19" t="s">
        <v>3</v>
      </c>
      <c r="C17" s="20" t="s">
        <v>76</v>
      </c>
      <c r="D17" s="20" t="str">
        <f t="shared" si="0"/>
        <v/>
      </c>
      <c r="E17" s="5">
        <v>45504</v>
      </c>
      <c r="F17" s="20" t="s">
        <v>11</v>
      </c>
      <c r="G17" s="7" t="s">
        <v>20</v>
      </c>
      <c r="H17" s="7" t="s">
        <v>20</v>
      </c>
      <c r="I17" s="7">
        <v>0</v>
      </c>
      <c r="J17" s="7" t="s">
        <v>20</v>
      </c>
      <c r="K17" s="7"/>
      <c r="L17" s="8" t="s">
        <v>20</v>
      </c>
    </row>
    <row r="18" spans="1:12" s="23" customFormat="1" ht="14" x14ac:dyDescent="0.3">
      <c r="A18" s="18">
        <v>10</v>
      </c>
      <c r="B18" s="19" t="s">
        <v>3</v>
      </c>
      <c r="C18" s="20" t="s">
        <v>48</v>
      </c>
      <c r="D18" s="20" t="str">
        <f t="shared" si="0"/>
        <v/>
      </c>
      <c r="E18" s="5">
        <v>45504</v>
      </c>
      <c r="F18" s="20" t="s">
        <v>11</v>
      </c>
      <c r="G18" s="7">
        <v>1140861500</v>
      </c>
      <c r="H18" s="7">
        <v>20803700</v>
      </c>
      <c r="I18" s="7">
        <f>OPERATORS[[#This Row],[Total Sales]]-OPERATORS[[#This Row],[Total Payouts]]</f>
        <v>1120057800</v>
      </c>
      <c r="J18" s="7">
        <v>0</v>
      </c>
      <c r="K18" s="7">
        <v>342258450</v>
      </c>
      <c r="L18" s="8">
        <v>342258450</v>
      </c>
    </row>
    <row r="19" spans="1:12" s="23" customFormat="1" ht="14" x14ac:dyDescent="0.3">
      <c r="A19" s="18">
        <f>ROW(A18)</f>
        <v>18</v>
      </c>
      <c r="B19" s="19" t="s">
        <v>12</v>
      </c>
      <c r="C19" s="20" t="s">
        <v>55</v>
      </c>
      <c r="D19" s="20" t="str">
        <f t="shared" si="0"/>
        <v/>
      </c>
      <c r="E19" s="5">
        <v>45504</v>
      </c>
      <c r="F19" s="20" t="s">
        <v>11</v>
      </c>
      <c r="G19" s="7">
        <v>144126593</v>
      </c>
      <c r="H19" s="7">
        <v>102869011</v>
      </c>
      <c r="I19" s="7">
        <f>OPERATORS[[#This Row],[Total Sales]]-OPERATORS[[#This Row],[Total Payouts]]</f>
        <v>41257582</v>
      </c>
      <c r="J19" s="7">
        <v>15430352</v>
      </c>
      <c r="K19" s="7">
        <v>8286084</v>
      </c>
      <c r="L19" s="8">
        <v>23716436</v>
      </c>
    </row>
    <row r="20" spans="1:12" s="23" customFormat="1" ht="14" x14ac:dyDescent="0.3">
      <c r="A20" s="18">
        <v>11</v>
      </c>
      <c r="B20" s="19" t="s">
        <v>3</v>
      </c>
      <c r="C20" s="20" t="s">
        <v>51</v>
      </c>
      <c r="D20" s="20" t="str">
        <f t="shared" si="0"/>
        <v/>
      </c>
      <c r="E20" s="5">
        <v>45504</v>
      </c>
      <c r="F20" s="20" t="s">
        <v>11</v>
      </c>
      <c r="G20" s="7">
        <v>663756545</v>
      </c>
      <c r="H20" s="7">
        <v>0</v>
      </c>
      <c r="I20" s="7">
        <f>OPERATORS[[#This Row],[Total Sales]]-OPERATORS[[#This Row],[Total Payouts]]</f>
        <v>663756545</v>
      </c>
      <c r="J20" s="7">
        <v>0</v>
      </c>
      <c r="K20" s="7">
        <v>199126964</v>
      </c>
      <c r="L20" s="8">
        <v>199126964</v>
      </c>
    </row>
    <row r="21" spans="1:12" s="23" customFormat="1" ht="14" x14ac:dyDescent="0.3">
      <c r="A21" s="18">
        <f>ROW(A20)</f>
        <v>20</v>
      </c>
      <c r="B21" s="19" t="s">
        <v>3</v>
      </c>
      <c r="C21" s="20" t="s">
        <v>73</v>
      </c>
      <c r="D21" s="20" t="str">
        <f t="shared" si="0"/>
        <v/>
      </c>
      <c r="E21" s="5">
        <v>45504</v>
      </c>
      <c r="F21" s="20" t="s">
        <v>11</v>
      </c>
      <c r="G21" s="7">
        <v>0</v>
      </c>
      <c r="H21" s="7">
        <v>0</v>
      </c>
      <c r="I21" s="7">
        <f>OPERATORS[[#This Row],[Total Sales]]-OPERATORS[[#This Row],[Total Payouts]]</f>
        <v>0</v>
      </c>
      <c r="J21" s="7" t="s">
        <v>20</v>
      </c>
      <c r="K21" s="7"/>
      <c r="L21" s="8" t="s">
        <v>20</v>
      </c>
    </row>
    <row r="22" spans="1:12" s="23" customFormat="1" ht="14" x14ac:dyDescent="0.3">
      <c r="A22" s="18">
        <v>12</v>
      </c>
      <c r="B22" s="19" t="s">
        <v>12</v>
      </c>
      <c r="C22" s="20" t="s">
        <v>73</v>
      </c>
      <c r="D22" s="20" t="str">
        <f t="shared" si="0"/>
        <v/>
      </c>
      <c r="E22" s="5">
        <v>45504</v>
      </c>
      <c r="F22" s="20" t="s">
        <v>11</v>
      </c>
      <c r="G22" s="7">
        <v>0</v>
      </c>
      <c r="H22" s="7">
        <v>0</v>
      </c>
      <c r="I22" s="7">
        <f>OPERATORS[[#This Row],[Total Sales]]-OPERATORS[[#This Row],[Total Payouts]]</f>
        <v>0</v>
      </c>
      <c r="J22" s="7" t="s">
        <v>20</v>
      </c>
      <c r="K22" s="7" t="s">
        <v>20</v>
      </c>
      <c r="L22" s="28" t="s">
        <v>20</v>
      </c>
    </row>
    <row r="23" spans="1:12" s="23" customFormat="1" ht="14" x14ac:dyDescent="0.3">
      <c r="A23" s="18">
        <f>ROW(A22)</f>
        <v>22</v>
      </c>
      <c r="B23" s="19" t="s">
        <v>3</v>
      </c>
      <c r="C23" s="20" t="s">
        <v>65</v>
      </c>
      <c r="D23" s="20" t="str">
        <f t="shared" si="0"/>
        <v/>
      </c>
      <c r="E23" s="5">
        <v>45504</v>
      </c>
      <c r="F23" s="20" t="s">
        <v>11</v>
      </c>
      <c r="G23" s="7" t="s">
        <v>20</v>
      </c>
      <c r="H23" s="7" t="s">
        <v>20</v>
      </c>
      <c r="I23" s="7">
        <v>0</v>
      </c>
      <c r="J23" s="7" t="s">
        <v>20</v>
      </c>
      <c r="K23" s="7"/>
      <c r="L23" s="8" t="s">
        <v>20</v>
      </c>
    </row>
    <row r="24" spans="1:12" s="23" customFormat="1" ht="14" x14ac:dyDescent="0.3">
      <c r="A24" s="18">
        <v>13</v>
      </c>
      <c r="B24" s="19" t="s">
        <v>12</v>
      </c>
      <c r="C24" s="20" t="s">
        <v>65</v>
      </c>
      <c r="D24" s="20" t="str">
        <f t="shared" si="0"/>
        <v/>
      </c>
      <c r="E24" s="5">
        <v>45504</v>
      </c>
      <c r="F24" s="20" t="s">
        <v>11</v>
      </c>
      <c r="G24" s="7" t="s">
        <v>20</v>
      </c>
      <c r="H24" s="7" t="s">
        <v>20</v>
      </c>
      <c r="I24" s="7">
        <v>0</v>
      </c>
      <c r="J24" s="7" t="s">
        <v>20</v>
      </c>
      <c r="K24" s="7" t="s">
        <v>20</v>
      </c>
      <c r="L24" s="8" t="s">
        <v>20</v>
      </c>
    </row>
    <row r="25" spans="1:12" s="23" customFormat="1" ht="14.5" x14ac:dyDescent="0.35">
      <c r="A25" s="18">
        <f>ROW(A24)</f>
        <v>24</v>
      </c>
      <c r="B25" s="19" t="s">
        <v>16</v>
      </c>
      <c r="C25" s="20" t="s">
        <v>39</v>
      </c>
      <c r="D25" s="20" t="str">
        <f t="shared" si="0"/>
        <v/>
      </c>
      <c r="E25" s="5">
        <v>45504</v>
      </c>
      <c r="F25" s="20" t="s">
        <v>11</v>
      </c>
      <c r="G25" s="29" t="s">
        <v>22</v>
      </c>
      <c r="H25" s="29" t="s">
        <v>19</v>
      </c>
      <c r="I25" s="7">
        <v>0</v>
      </c>
      <c r="J25" s="7">
        <v>0</v>
      </c>
      <c r="K25" s="29" t="s">
        <v>23</v>
      </c>
      <c r="L25" s="8" t="s">
        <v>23</v>
      </c>
    </row>
    <row r="26" spans="1:12" s="23" customFormat="1" ht="14" x14ac:dyDescent="0.3">
      <c r="A26" s="18">
        <v>14</v>
      </c>
      <c r="B26" s="19" t="s">
        <v>12</v>
      </c>
      <c r="C26" s="20" t="s">
        <v>75</v>
      </c>
      <c r="D26" s="20" t="str">
        <f t="shared" si="0"/>
        <v/>
      </c>
      <c r="E26" s="5">
        <v>45504</v>
      </c>
      <c r="F26" s="20" t="s">
        <v>11</v>
      </c>
      <c r="G26" s="30">
        <v>0</v>
      </c>
      <c r="H26" s="31">
        <v>0</v>
      </c>
      <c r="I26" s="7">
        <f>OPERATORS[[#This Row],[Total Sales]]-OPERATORS[[#This Row],[Total Payouts]]</f>
        <v>0</v>
      </c>
      <c r="J26" s="7" t="s">
        <v>20</v>
      </c>
      <c r="K26" s="32" t="s">
        <v>20</v>
      </c>
      <c r="L26" s="8" t="s">
        <v>20</v>
      </c>
    </row>
    <row r="27" spans="1:12" s="23" customFormat="1" ht="14.5" x14ac:dyDescent="0.35">
      <c r="A27" s="18">
        <f>ROW(A26)</f>
        <v>26</v>
      </c>
      <c r="B27" s="19" t="s">
        <v>17</v>
      </c>
      <c r="C27" s="20" t="s">
        <v>34</v>
      </c>
      <c r="D27" s="20" t="str">
        <f t="shared" si="0"/>
        <v/>
      </c>
      <c r="E27" s="5">
        <v>45504</v>
      </c>
      <c r="F27" s="20" t="s">
        <v>11</v>
      </c>
      <c r="G27" s="25">
        <v>443682000</v>
      </c>
      <c r="H27" s="7">
        <v>395600000</v>
      </c>
      <c r="I27" s="7">
        <f>OPERATORS[[#This Row],[Total Sales]]-OPERATORS[[#This Row],[Total Payouts]]</f>
        <v>48082000</v>
      </c>
      <c r="J27" s="7">
        <v>0</v>
      </c>
      <c r="K27" s="7">
        <v>14424600</v>
      </c>
      <c r="L27" s="33">
        <v>14424600</v>
      </c>
    </row>
    <row r="28" spans="1:12" s="23" customFormat="1" ht="14" x14ac:dyDescent="0.3">
      <c r="A28" s="18">
        <v>15</v>
      </c>
      <c r="B28" s="19" t="s">
        <v>3</v>
      </c>
      <c r="C28" s="20" t="s">
        <v>61</v>
      </c>
      <c r="D28" s="20" t="str">
        <f t="shared" si="0"/>
        <v/>
      </c>
      <c r="E28" s="5">
        <v>45504</v>
      </c>
      <c r="F28" s="20" t="s">
        <v>11</v>
      </c>
      <c r="G28" s="25">
        <v>1043012700</v>
      </c>
      <c r="H28" s="7">
        <v>930264100</v>
      </c>
      <c r="I28" s="7">
        <f>OPERATORS[[#This Row],[Total Sales]]-OPERATORS[[#This Row],[Total Payouts]]</f>
        <v>112748600</v>
      </c>
      <c r="J28" s="7">
        <v>0</v>
      </c>
      <c r="K28" s="7">
        <v>38599590</v>
      </c>
      <c r="L28" s="34">
        <v>38599590</v>
      </c>
    </row>
    <row r="29" spans="1:12" s="23" customFormat="1" ht="14" x14ac:dyDescent="0.3">
      <c r="A29" s="18">
        <f>ROW(A28)</f>
        <v>28</v>
      </c>
      <c r="B29" s="19" t="s">
        <v>12</v>
      </c>
      <c r="C29" s="20" t="s">
        <v>78</v>
      </c>
      <c r="D29" s="20" t="str">
        <f t="shared" si="0"/>
        <v/>
      </c>
      <c r="E29" s="5">
        <v>45504</v>
      </c>
      <c r="F29" s="20" t="s">
        <v>11</v>
      </c>
      <c r="G29" s="7">
        <v>128282130</v>
      </c>
      <c r="H29" s="7">
        <v>104142726</v>
      </c>
      <c r="I29" s="7">
        <f>OPERATORS[[#This Row],[Total Sales]]-OPERATORS[[#This Row],[Total Payouts]]</f>
        <v>24139404</v>
      </c>
      <c r="J29" s="7">
        <v>15621409</v>
      </c>
      <c r="K29" s="7">
        <v>5084399</v>
      </c>
      <c r="L29" s="8">
        <v>20705808</v>
      </c>
    </row>
    <row r="30" spans="1:12" s="23" customFormat="1" ht="14" x14ac:dyDescent="0.3">
      <c r="A30" s="18">
        <v>16</v>
      </c>
      <c r="B30" s="19" t="s">
        <v>12</v>
      </c>
      <c r="C30" s="20" t="s">
        <v>32</v>
      </c>
      <c r="D30" s="20" t="str">
        <f t="shared" si="0"/>
        <v/>
      </c>
      <c r="E30" s="5">
        <v>45504</v>
      </c>
      <c r="F30" s="20" t="s">
        <v>11</v>
      </c>
      <c r="G30" s="7">
        <v>357194875</v>
      </c>
      <c r="H30" s="7">
        <v>270675205</v>
      </c>
      <c r="I30" s="7">
        <f>OPERATORS[[#This Row],[Total Sales]]-OPERATORS[[#This Row],[Total Payouts]]</f>
        <v>86519670</v>
      </c>
      <c r="J30" s="7">
        <v>40601281</v>
      </c>
      <c r="K30" s="7">
        <v>17662336</v>
      </c>
      <c r="L30" s="8">
        <v>58263617</v>
      </c>
    </row>
    <row r="31" spans="1:12" s="23" customFormat="1" ht="14" x14ac:dyDescent="0.3">
      <c r="A31" s="18">
        <f>ROW(A30)</f>
        <v>30</v>
      </c>
      <c r="B31" s="19" t="s">
        <v>3</v>
      </c>
      <c r="C31" s="20" t="s">
        <v>32</v>
      </c>
      <c r="D31" s="20" t="str">
        <f t="shared" si="0"/>
        <v/>
      </c>
      <c r="E31" s="5">
        <v>45504</v>
      </c>
      <c r="F31" s="20" t="s">
        <v>11</v>
      </c>
      <c r="G31" s="7">
        <v>79836622</v>
      </c>
      <c r="H31" s="7">
        <v>42085631</v>
      </c>
      <c r="I31" s="7">
        <f>OPERATORS[[#This Row],[Total Sales]]-OPERATORS[[#This Row],[Total Payouts]]</f>
        <v>37750991</v>
      </c>
      <c r="J31" s="7">
        <v>0</v>
      </c>
      <c r="K31" s="7">
        <v>14098047</v>
      </c>
      <c r="L31" s="8">
        <v>14098047</v>
      </c>
    </row>
    <row r="32" spans="1:12" s="23" customFormat="1" ht="14" x14ac:dyDescent="0.3">
      <c r="A32" s="18">
        <v>17</v>
      </c>
      <c r="B32" s="19" t="s">
        <v>12</v>
      </c>
      <c r="C32" s="20" t="s">
        <v>36</v>
      </c>
      <c r="D32" s="20" t="str">
        <f t="shared" si="0"/>
        <v/>
      </c>
      <c r="E32" s="5">
        <v>45504</v>
      </c>
      <c r="F32" s="20" t="s">
        <v>11</v>
      </c>
      <c r="G32" s="7">
        <v>117312724</v>
      </c>
      <c r="H32" s="7">
        <v>104317609</v>
      </c>
      <c r="I32" s="7">
        <f>OPERATORS[[#This Row],[Total Sales]]-OPERATORS[[#This Row],[Total Payouts]]</f>
        <v>12995115</v>
      </c>
      <c r="J32" s="7">
        <v>15647641</v>
      </c>
      <c r="K32" s="7">
        <v>6687420</v>
      </c>
      <c r="L32" s="8">
        <v>22335061</v>
      </c>
    </row>
    <row r="33" spans="1:12" s="23" customFormat="1" ht="14" x14ac:dyDescent="0.3">
      <c r="A33" s="18">
        <f>ROW(A32)</f>
        <v>32</v>
      </c>
      <c r="B33" s="19" t="s">
        <v>16</v>
      </c>
      <c r="C33" s="20" t="s">
        <v>36</v>
      </c>
      <c r="D33" s="20" t="str">
        <f t="shared" si="0"/>
        <v/>
      </c>
      <c r="E33" s="5">
        <v>45504</v>
      </c>
      <c r="F33" s="20" t="s">
        <v>11</v>
      </c>
      <c r="G33" s="7">
        <v>186702010</v>
      </c>
      <c r="H33" s="7">
        <v>157628906</v>
      </c>
      <c r="I33" s="7">
        <f>OPERATORS[[#This Row],[Total Sales]]-OPERATORS[[#This Row],[Total Payouts]]</f>
        <v>29073104</v>
      </c>
      <c r="J33" s="7">
        <v>0</v>
      </c>
      <c r="K33" s="7">
        <v>8721931</v>
      </c>
      <c r="L33" s="8">
        <v>8721931</v>
      </c>
    </row>
    <row r="34" spans="1:12" s="23" customFormat="1" ht="14" x14ac:dyDescent="0.3">
      <c r="A34" s="18">
        <v>18</v>
      </c>
      <c r="B34" s="19" t="s">
        <v>16</v>
      </c>
      <c r="C34" s="20" t="s">
        <v>69</v>
      </c>
      <c r="D34" s="20" t="str">
        <f t="shared" ref="D34:D57" si="1">IFERROR(VLOOKUP(C34,OPerators_Range,2,FALSE),"")</f>
        <v/>
      </c>
      <c r="E34" s="5">
        <v>45504</v>
      </c>
      <c r="F34" s="20" t="s">
        <v>11</v>
      </c>
      <c r="G34" s="7">
        <v>548146600</v>
      </c>
      <c r="H34" s="7">
        <v>455438016</v>
      </c>
      <c r="I34" s="7">
        <f>OPERATORS[[#This Row],[Total Sales]]-OPERATORS[[#This Row],[Total Payouts]]</f>
        <v>92708584</v>
      </c>
      <c r="J34" s="7">
        <v>0</v>
      </c>
      <c r="K34" s="7">
        <v>27812575</v>
      </c>
      <c r="L34" s="8">
        <v>27812575</v>
      </c>
    </row>
    <row r="35" spans="1:12" s="23" customFormat="1" ht="14" x14ac:dyDescent="0.3">
      <c r="A35" s="18">
        <f>ROW(A34)</f>
        <v>34</v>
      </c>
      <c r="B35" s="19" t="s">
        <v>12</v>
      </c>
      <c r="C35" s="20" t="s">
        <v>45</v>
      </c>
      <c r="D35" s="20" t="str">
        <f t="shared" si="1"/>
        <v/>
      </c>
      <c r="E35" s="5">
        <v>45504</v>
      </c>
      <c r="F35" s="20" t="s">
        <v>11</v>
      </c>
      <c r="G35" s="7">
        <v>4094519399</v>
      </c>
      <c r="H35" s="7">
        <v>2773256437</v>
      </c>
      <c r="I35" s="7">
        <f>OPERATORS[[#This Row],[Total Sales]]-OPERATORS[[#This Row],[Total Payouts]]</f>
        <v>1321262962</v>
      </c>
      <c r="J35" s="7">
        <v>415988466</v>
      </c>
      <c r="K35" s="7">
        <v>264252592</v>
      </c>
      <c r="L35" s="7">
        <v>680241058</v>
      </c>
    </row>
    <row r="36" spans="1:12" s="23" customFormat="1" ht="14" x14ac:dyDescent="0.3">
      <c r="A36" s="18">
        <v>19</v>
      </c>
      <c r="B36" s="19" t="s">
        <v>16</v>
      </c>
      <c r="C36" s="20" t="s">
        <v>45</v>
      </c>
      <c r="D36" s="20" t="str">
        <f t="shared" si="1"/>
        <v/>
      </c>
      <c r="E36" s="5">
        <v>45504</v>
      </c>
      <c r="F36" s="20" t="s">
        <v>11</v>
      </c>
      <c r="G36" s="7">
        <v>2259674469</v>
      </c>
      <c r="H36" s="7">
        <v>1448425302</v>
      </c>
      <c r="I36" s="7">
        <f>OPERATORS[[#This Row],[Total Sales]]-OPERATORS[[#This Row],[Total Payouts]]</f>
        <v>811249167</v>
      </c>
      <c r="J36" s="7">
        <v>0</v>
      </c>
      <c r="K36" s="7">
        <v>243374750</v>
      </c>
      <c r="L36" s="8">
        <v>243374750</v>
      </c>
    </row>
    <row r="37" spans="1:12" s="23" customFormat="1" ht="14" x14ac:dyDescent="0.3">
      <c r="A37" s="18">
        <f>ROW(A36)</f>
        <v>36</v>
      </c>
      <c r="B37" s="19" t="s">
        <v>12</v>
      </c>
      <c r="C37" s="20" t="s">
        <v>60</v>
      </c>
      <c r="D37" s="20" t="str">
        <f t="shared" si="1"/>
        <v/>
      </c>
      <c r="E37" s="5">
        <v>45504</v>
      </c>
      <c r="F37" s="20" t="s">
        <v>11</v>
      </c>
      <c r="G37" s="7">
        <v>4140592154</v>
      </c>
      <c r="H37" s="7">
        <v>3031611351</v>
      </c>
      <c r="I37" s="7">
        <f>OPERATORS[[#This Row],[Total Sales]]-OPERATORS[[#This Row],[Total Payouts]]</f>
        <v>1108980803</v>
      </c>
      <c r="J37" s="7">
        <v>454741703</v>
      </c>
      <c r="K37" s="7">
        <v>223635680</v>
      </c>
      <c r="L37" s="8">
        <v>678377383</v>
      </c>
    </row>
    <row r="38" spans="1:12" s="23" customFormat="1" ht="14" x14ac:dyDescent="0.3">
      <c r="A38" s="18">
        <v>20</v>
      </c>
      <c r="B38" s="19" t="s">
        <v>16</v>
      </c>
      <c r="C38" s="20" t="s">
        <v>60</v>
      </c>
      <c r="D38" s="20" t="str">
        <f t="shared" si="1"/>
        <v/>
      </c>
      <c r="E38" s="5">
        <v>45504</v>
      </c>
      <c r="F38" s="20" t="s">
        <v>11</v>
      </c>
      <c r="G38" s="7">
        <v>21230167144</v>
      </c>
      <c r="H38" s="7">
        <v>19804650997</v>
      </c>
      <c r="I38" s="7">
        <f>OPERATORS[[#This Row],[Total Sales]]-OPERATORS[[#This Row],[Total Payouts]]</f>
        <v>1425516147</v>
      </c>
      <c r="J38" s="7">
        <v>0</v>
      </c>
      <c r="K38" s="7">
        <v>427654844</v>
      </c>
      <c r="L38" s="8">
        <v>427654844</v>
      </c>
    </row>
    <row r="39" spans="1:12" s="23" customFormat="1" ht="14" x14ac:dyDescent="0.3">
      <c r="A39" s="18">
        <f>ROW(A38)</f>
        <v>38</v>
      </c>
      <c r="B39" s="19" t="s">
        <v>3</v>
      </c>
      <c r="C39" s="20" t="s">
        <v>57</v>
      </c>
      <c r="D39" s="20" t="str">
        <f t="shared" si="1"/>
        <v/>
      </c>
      <c r="E39" s="5">
        <v>45504</v>
      </c>
      <c r="F39" s="20" t="s">
        <v>11</v>
      </c>
      <c r="G39" s="7">
        <v>75940000</v>
      </c>
      <c r="H39" s="7">
        <v>30640000</v>
      </c>
      <c r="I39" s="7">
        <f>OPERATORS[[#This Row],[Total Sales]]-OPERATORS[[#This Row],[Total Payouts]]</f>
        <v>45300000</v>
      </c>
      <c r="J39" s="7">
        <v>0</v>
      </c>
      <c r="K39" s="7">
        <v>13590000</v>
      </c>
      <c r="L39" s="8">
        <v>13590000</v>
      </c>
    </row>
    <row r="40" spans="1:12" s="23" customFormat="1" ht="14" x14ac:dyDescent="0.3">
      <c r="A40" s="18">
        <v>21</v>
      </c>
      <c r="B40" s="19" t="s">
        <v>16</v>
      </c>
      <c r="C40" s="20" t="s">
        <v>27</v>
      </c>
      <c r="D40" s="20" t="str">
        <f t="shared" si="1"/>
        <v/>
      </c>
      <c r="E40" s="5">
        <v>45504</v>
      </c>
      <c r="F40" s="20" t="s">
        <v>11</v>
      </c>
      <c r="G40" s="7">
        <v>38334136</v>
      </c>
      <c r="H40" s="7">
        <v>18946468</v>
      </c>
      <c r="I40" s="7">
        <f>OPERATORS[[#This Row],[Total Sales]]-OPERATORS[[#This Row],[Total Payouts]]</f>
        <v>19387668</v>
      </c>
      <c r="J40" s="7">
        <v>0</v>
      </c>
      <c r="K40" s="7">
        <v>5828828</v>
      </c>
      <c r="L40" s="28">
        <v>5828828</v>
      </c>
    </row>
    <row r="41" spans="1:12" s="23" customFormat="1" ht="14" x14ac:dyDescent="0.3">
      <c r="A41" s="18">
        <f>ROW(A40)</f>
        <v>40</v>
      </c>
      <c r="B41" s="19" t="s">
        <v>12</v>
      </c>
      <c r="C41" s="20" t="s">
        <v>27</v>
      </c>
      <c r="D41" s="20" t="str">
        <f t="shared" si="1"/>
        <v/>
      </c>
      <c r="E41" s="5">
        <v>45504</v>
      </c>
      <c r="F41" s="20" t="s">
        <v>11</v>
      </c>
      <c r="G41" s="7" t="s">
        <v>20</v>
      </c>
      <c r="H41" s="7" t="s">
        <v>20</v>
      </c>
      <c r="I41" s="7">
        <v>0</v>
      </c>
      <c r="J41" s="7" t="s">
        <v>20</v>
      </c>
      <c r="K41" s="7" t="s">
        <v>20</v>
      </c>
      <c r="L41" s="8" t="s">
        <v>20</v>
      </c>
    </row>
    <row r="42" spans="1:12" s="23" customFormat="1" ht="14" x14ac:dyDescent="0.3">
      <c r="A42" s="18">
        <v>22</v>
      </c>
      <c r="B42" s="19" t="s">
        <v>3</v>
      </c>
      <c r="C42" s="20" t="s">
        <v>44</v>
      </c>
      <c r="D42" s="20" t="str">
        <f t="shared" si="1"/>
        <v/>
      </c>
      <c r="E42" s="5">
        <v>45504</v>
      </c>
      <c r="F42" s="20" t="s">
        <v>11</v>
      </c>
      <c r="G42" s="7">
        <v>2138122</v>
      </c>
      <c r="H42" s="7">
        <v>1752480</v>
      </c>
      <c r="I42" s="7">
        <f>OPERATORS[[#This Row],[Total Sales]]-OPERATORS[[#This Row],[Total Payouts]]</f>
        <v>385642</v>
      </c>
      <c r="J42" s="7">
        <v>0</v>
      </c>
      <c r="K42" s="7">
        <v>143734</v>
      </c>
      <c r="L42" s="8">
        <v>143734</v>
      </c>
    </row>
    <row r="43" spans="1:12" s="23" customFormat="1" ht="14" x14ac:dyDescent="0.3">
      <c r="A43" s="18">
        <f>ROW(A42)</f>
        <v>42</v>
      </c>
      <c r="B43" s="19" t="s">
        <v>12</v>
      </c>
      <c r="C43" s="20" t="s">
        <v>44</v>
      </c>
      <c r="D43" s="20" t="str">
        <f t="shared" si="1"/>
        <v/>
      </c>
      <c r="E43" s="5">
        <v>45504</v>
      </c>
      <c r="F43" s="20" t="s">
        <v>11</v>
      </c>
      <c r="G43" s="7" t="s">
        <v>20</v>
      </c>
      <c r="H43" s="7" t="s">
        <v>20</v>
      </c>
      <c r="I43" s="7">
        <v>0</v>
      </c>
      <c r="J43" s="7" t="s">
        <v>20</v>
      </c>
      <c r="K43" s="7" t="s">
        <v>20</v>
      </c>
      <c r="L43" s="8" t="s">
        <v>20</v>
      </c>
    </row>
    <row r="44" spans="1:12" s="23" customFormat="1" ht="14" x14ac:dyDescent="0.3">
      <c r="A44" s="18">
        <v>23</v>
      </c>
      <c r="B44" s="19" t="s">
        <v>3</v>
      </c>
      <c r="C44" s="20" t="s">
        <v>41</v>
      </c>
      <c r="D44" s="20" t="str">
        <f t="shared" si="1"/>
        <v/>
      </c>
      <c r="E44" s="5">
        <v>45504</v>
      </c>
      <c r="F44" s="20" t="s">
        <v>11</v>
      </c>
      <c r="G44" s="7">
        <v>203088199406</v>
      </c>
      <c r="H44" s="7">
        <v>196126210911</v>
      </c>
      <c r="I44" s="7">
        <f>OPERATORS[[#This Row],[Total Sales]]-OPERATORS[[#This Row],[Total Payouts]]</f>
        <v>6961988495</v>
      </c>
      <c r="J44" s="7">
        <v>0</v>
      </c>
      <c r="K44" s="7">
        <v>2100150603</v>
      </c>
      <c r="L44" s="8">
        <v>2100150603</v>
      </c>
    </row>
    <row r="45" spans="1:12" s="23" customFormat="1" ht="14" x14ac:dyDescent="0.3">
      <c r="A45" s="18">
        <f>ROW(A44)</f>
        <v>44</v>
      </c>
      <c r="B45" s="19" t="s">
        <v>12</v>
      </c>
      <c r="C45" s="20" t="s">
        <v>41</v>
      </c>
      <c r="D45" s="20" t="str">
        <f t="shared" si="1"/>
        <v/>
      </c>
      <c r="E45" s="5">
        <v>45504</v>
      </c>
      <c r="F45" s="20" t="s">
        <v>11</v>
      </c>
      <c r="G45" s="7">
        <v>203253109011</v>
      </c>
      <c r="H45" s="7">
        <v>189649412261</v>
      </c>
      <c r="I45" s="7">
        <f>OPERATORS[[#This Row],[Total Sales]]-OPERATORS[[#This Row],[Total Payouts]]</f>
        <v>13603696750</v>
      </c>
      <c r="J45" s="7">
        <v>2300628049</v>
      </c>
      <c r="K45" s="7">
        <v>4601256099</v>
      </c>
      <c r="L45" s="8">
        <v>6901884148</v>
      </c>
    </row>
    <row r="46" spans="1:12" s="23" customFormat="1" ht="14" x14ac:dyDescent="0.3">
      <c r="A46" s="18">
        <v>24</v>
      </c>
      <c r="B46" s="19" t="s">
        <v>3</v>
      </c>
      <c r="C46" s="20" t="s">
        <v>40</v>
      </c>
      <c r="D46" s="20" t="str">
        <f t="shared" si="1"/>
        <v/>
      </c>
      <c r="E46" s="5">
        <v>45504</v>
      </c>
      <c r="F46" s="20" t="s">
        <v>11</v>
      </c>
      <c r="G46" s="7">
        <v>71210000</v>
      </c>
      <c r="H46" s="7">
        <v>28710000</v>
      </c>
      <c r="I46" s="7">
        <f>OPERATORS[[#This Row],[Total Sales]]-OPERATORS[[#This Row],[Total Payouts]]</f>
        <v>42500000</v>
      </c>
      <c r="J46" s="7">
        <v>0</v>
      </c>
      <c r="K46" s="7">
        <v>12750000</v>
      </c>
      <c r="L46" s="8">
        <v>12750000</v>
      </c>
    </row>
    <row r="47" spans="1:12" s="23" customFormat="1" ht="14" x14ac:dyDescent="0.3">
      <c r="A47" s="18">
        <v>33</v>
      </c>
      <c r="B47" s="19" t="s">
        <v>3</v>
      </c>
      <c r="C47" s="20" t="s">
        <v>33</v>
      </c>
      <c r="D47" s="20" t="str">
        <f t="shared" si="1"/>
        <v/>
      </c>
      <c r="E47" s="5">
        <v>45504</v>
      </c>
      <c r="F47" s="20" t="s">
        <v>11</v>
      </c>
      <c r="G47" s="7">
        <v>544860000</v>
      </c>
      <c r="H47" s="7">
        <v>516289000</v>
      </c>
      <c r="I47" s="7">
        <f>OPERATORS[[#This Row],[Total Sales]]-OPERATORS[[#This Row],[Total Payouts]]</f>
        <v>28571000</v>
      </c>
      <c r="J47" s="7">
        <v>0</v>
      </c>
      <c r="K47" s="7">
        <v>14397300</v>
      </c>
      <c r="L47" s="8">
        <v>14397300</v>
      </c>
    </row>
    <row r="48" spans="1:12" s="23" customFormat="1" ht="14" x14ac:dyDescent="0.3">
      <c r="A48" s="18">
        <v>37</v>
      </c>
      <c r="B48" s="19" t="s">
        <v>12</v>
      </c>
      <c r="C48" s="20" t="s">
        <v>67</v>
      </c>
      <c r="D48" s="20" t="str">
        <f t="shared" si="1"/>
        <v/>
      </c>
      <c r="E48" s="5">
        <v>45504</v>
      </c>
      <c r="F48" s="20" t="s">
        <v>11</v>
      </c>
      <c r="G48" s="7">
        <v>622471856.15999997</v>
      </c>
      <c r="H48" s="7">
        <v>397374106.06999993</v>
      </c>
      <c r="I48" s="7">
        <f>OPERATORS[[#This Row],[Total Sales]]-OPERATORS[[#This Row],[Total Payouts]]</f>
        <v>225097750.09000003</v>
      </c>
      <c r="J48" s="7">
        <v>59606115.910500005</v>
      </c>
      <c r="K48" s="7">
        <v>45055717.07</v>
      </c>
      <c r="L48" s="8">
        <v>104661832.98050001</v>
      </c>
    </row>
    <row r="49" spans="1:13" s="23" customFormat="1" ht="14" x14ac:dyDescent="0.3">
      <c r="A49" s="18">
        <v>38</v>
      </c>
      <c r="B49" s="19" t="s">
        <v>12</v>
      </c>
      <c r="C49" s="20" t="s">
        <v>72</v>
      </c>
      <c r="D49" s="20" t="str">
        <f t="shared" si="1"/>
        <v/>
      </c>
      <c r="E49" s="5">
        <v>45504</v>
      </c>
      <c r="F49" s="20" t="s">
        <v>11</v>
      </c>
      <c r="G49" s="7">
        <v>30701773</v>
      </c>
      <c r="H49" s="7">
        <v>22049229</v>
      </c>
      <c r="I49" s="7">
        <f>OPERATORS[[#This Row],[Total Sales]]-OPERATORS[[#This Row],[Total Payouts]]</f>
        <v>8652544</v>
      </c>
      <c r="J49" s="7">
        <v>3307384</v>
      </c>
      <c r="K49" s="7">
        <v>2306552</v>
      </c>
      <c r="L49" s="8">
        <v>5613937</v>
      </c>
    </row>
    <row r="50" spans="1:13" s="23" customFormat="1" ht="14" x14ac:dyDescent="0.3">
      <c r="A50" s="18">
        <f>ROW(A49)</f>
        <v>49</v>
      </c>
      <c r="B50" s="19" t="s">
        <v>16</v>
      </c>
      <c r="C50" s="20" t="s">
        <v>72</v>
      </c>
      <c r="D50" s="20" t="str">
        <f t="shared" si="1"/>
        <v/>
      </c>
      <c r="E50" s="5">
        <v>45504</v>
      </c>
      <c r="F50" s="20" t="s">
        <v>11</v>
      </c>
      <c r="G50" s="7">
        <v>89996456</v>
      </c>
      <c r="H50" s="7">
        <v>86178179</v>
      </c>
      <c r="I50" s="7">
        <f>OPERATORS[[#This Row],[Total Sales]]-OPERATORS[[#This Row],[Total Payouts]]</f>
        <v>3818277</v>
      </c>
      <c r="J50" s="7">
        <v>0</v>
      </c>
      <c r="K50" s="7">
        <v>1546667</v>
      </c>
      <c r="L50" s="8">
        <v>1546667</v>
      </c>
    </row>
    <row r="51" spans="1:13" s="23" customFormat="1" ht="14" x14ac:dyDescent="0.3">
      <c r="A51" s="18">
        <v>59</v>
      </c>
      <c r="B51" s="19" t="s">
        <v>12</v>
      </c>
      <c r="C51" s="20" t="s">
        <v>68</v>
      </c>
      <c r="D51" s="20" t="str">
        <f t="shared" si="1"/>
        <v/>
      </c>
      <c r="E51" s="5">
        <v>45504</v>
      </c>
      <c r="F51" s="20" t="s">
        <v>11</v>
      </c>
      <c r="G51" s="7">
        <v>60584062</v>
      </c>
      <c r="H51" s="7">
        <v>44061282</v>
      </c>
      <c r="I51" s="7">
        <f>OPERATORS[[#This Row],[Total Sales]]-OPERATORS[[#This Row],[Total Payouts]]</f>
        <v>16522780</v>
      </c>
      <c r="J51" s="7">
        <v>6609192.2999999989</v>
      </c>
      <c r="K51" s="7">
        <v>4215899.8</v>
      </c>
      <c r="L51" s="8">
        <v>10825092.099999998</v>
      </c>
    </row>
    <row r="52" spans="1:13" s="23" customFormat="1" ht="14" x14ac:dyDescent="0.3">
      <c r="A52" s="18">
        <v>60</v>
      </c>
      <c r="B52" s="19" t="s">
        <v>16</v>
      </c>
      <c r="C52" s="20" t="s">
        <v>77</v>
      </c>
      <c r="D52" s="20" t="str">
        <f t="shared" si="1"/>
        <v/>
      </c>
      <c r="E52" s="5">
        <v>45504</v>
      </c>
      <c r="F52" s="20" t="s">
        <v>11</v>
      </c>
      <c r="G52" s="7">
        <v>469639910</v>
      </c>
      <c r="H52" s="7">
        <v>373644880</v>
      </c>
      <c r="I52" s="7">
        <f>OPERATORS[[#This Row],[Total Sales]]-OPERATORS[[#This Row],[Total Payouts]]</f>
        <v>95995030</v>
      </c>
      <c r="J52" s="7">
        <v>0</v>
      </c>
      <c r="K52" s="7">
        <v>28798509</v>
      </c>
      <c r="L52" s="8">
        <v>28798509</v>
      </c>
    </row>
    <row r="53" spans="1:13" s="23" customFormat="1" ht="14" x14ac:dyDescent="0.3">
      <c r="A53" s="18">
        <v>69</v>
      </c>
      <c r="B53" s="19" t="s">
        <v>12</v>
      </c>
      <c r="C53" s="20" t="s">
        <v>31</v>
      </c>
      <c r="D53" s="20" t="str">
        <f t="shared" si="1"/>
        <v/>
      </c>
      <c r="E53" s="5">
        <v>45504</v>
      </c>
      <c r="F53" s="20" t="s">
        <v>11</v>
      </c>
      <c r="G53" s="7">
        <v>8086464</v>
      </c>
      <c r="H53" s="7">
        <v>4251959</v>
      </c>
      <c r="I53" s="7">
        <f>OPERATORS[[#This Row],[Total Sales]]-OPERATORS[[#This Row],[Total Payouts]]</f>
        <v>3834505</v>
      </c>
      <c r="J53" s="7">
        <v>637794</v>
      </c>
      <c r="K53" s="7">
        <v>811940</v>
      </c>
      <c r="L53" s="8">
        <v>1449734</v>
      </c>
    </row>
    <row r="54" spans="1:13" s="23" customFormat="1" ht="14" x14ac:dyDescent="0.3">
      <c r="A54" s="18">
        <f>ROW(A53)</f>
        <v>53</v>
      </c>
      <c r="B54" s="19" t="s">
        <v>3</v>
      </c>
      <c r="C54" s="20" t="s">
        <v>52</v>
      </c>
      <c r="D54" s="20" t="str">
        <f t="shared" si="1"/>
        <v/>
      </c>
      <c r="E54" s="5">
        <v>45504</v>
      </c>
      <c r="F54" s="20" t="s">
        <v>11</v>
      </c>
      <c r="G54" s="7">
        <v>60360000</v>
      </c>
      <c r="H54" s="7">
        <v>15999999</v>
      </c>
      <c r="I54" s="7">
        <f>OPERATORS[[#This Row],[Total Sales]]-OPERATORS[[#This Row],[Total Payouts]]</f>
        <v>44360001</v>
      </c>
      <c r="J54" s="7">
        <v>0</v>
      </c>
      <c r="K54" s="7">
        <v>13308000</v>
      </c>
      <c r="L54" s="8">
        <v>13308000</v>
      </c>
      <c r="M54" s="26"/>
    </row>
    <row r="55" spans="1:13" s="23" customFormat="1" ht="14" x14ac:dyDescent="0.3">
      <c r="A55" s="18">
        <v>93</v>
      </c>
      <c r="B55" s="19" t="s">
        <v>16</v>
      </c>
      <c r="C55" s="20" t="s">
        <v>59</v>
      </c>
      <c r="D55" s="20" t="str">
        <f t="shared" si="1"/>
        <v/>
      </c>
      <c r="E55" s="5">
        <v>45504</v>
      </c>
      <c r="F55" s="20" t="s">
        <v>11</v>
      </c>
      <c r="G55" s="7">
        <v>41357000</v>
      </c>
      <c r="H55" s="7">
        <v>33783276</v>
      </c>
      <c r="I55" s="7">
        <f>OPERATORS[[#This Row],[Total Sales]]-OPERATORS[[#This Row],[Total Payouts]]</f>
        <v>7573724</v>
      </c>
      <c r="J55" s="7">
        <v>0</v>
      </c>
      <c r="K55" s="7">
        <v>2272117</v>
      </c>
      <c r="L55" s="8">
        <v>2272117</v>
      </c>
      <c r="M55" s="26"/>
    </row>
    <row r="56" spans="1:13" s="23" customFormat="1" ht="14" x14ac:dyDescent="0.3">
      <c r="A56" s="18">
        <v>104</v>
      </c>
      <c r="B56" s="19" t="s">
        <v>12</v>
      </c>
      <c r="C56" s="20" t="s">
        <v>28</v>
      </c>
      <c r="D56" s="20" t="str">
        <f t="shared" si="1"/>
        <v/>
      </c>
      <c r="E56" s="5">
        <v>45504</v>
      </c>
      <c r="F56" s="20" t="s">
        <v>11</v>
      </c>
      <c r="G56" s="7">
        <v>1115059864</v>
      </c>
      <c r="H56" s="7">
        <v>826497476</v>
      </c>
      <c r="I56" s="7">
        <f>OPERATORS[[#This Row],[Total Sales]]-OPERATORS[[#This Row],[Total Payouts]]</f>
        <v>288562388</v>
      </c>
      <c r="J56" s="7">
        <v>123974621</v>
      </c>
      <c r="K56" s="7">
        <v>57712478</v>
      </c>
      <c r="L56" s="8">
        <v>181687099</v>
      </c>
    </row>
    <row r="57" spans="1:13" s="23" customFormat="1" ht="14" x14ac:dyDescent="0.3">
      <c r="A57" s="18">
        <f>ROW(A56)</f>
        <v>56</v>
      </c>
      <c r="B57" s="19" t="s">
        <v>3</v>
      </c>
      <c r="C57" s="20" t="s">
        <v>28</v>
      </c>
      <c r="D57" s="20" t="str">
        <f t="shared" si="1"/>
        <v/>
      </c>
      <c r="E57" s="5">
        <v>45504</v>
      </c>
      <c r="F57" s="20" t="s">
        <v>11</v>
      </c>
      <c r="G57" s="7">
        <v>2076454468</v>
      </c>
      <c r="H57" s="7">
        <v>1851610192</v>
      </c>
      <c r="I57" s="7">
        <f>OPERATORS[[#This Row],[Total Sales]]-OPERATORS[[#This Row],[Total Payouts]]</f>
        <v>224844276</v>
      </c>
      <c r="J57" s="7">
        <v>0</v>
      </c>
      <c r="K57" s="7">
        <v>80928672</v>
      </c>
      <c r="L57" s="8">
        <v>80928672</v>
      </c>
    </row>
    <row r="58" spans="1:13" s="23" customFormat="1" ht="14" x14ac:dyDescent="0.3">
      <c r="A58" s="18">
        <v>133</v>
      </c>
      <c r="B58" s="19" t="s">
        <v>3</v>
      </c>
      <c r="C58" s="20" t="s">
        <v>56</v>
      </c>
      <c r="D58" s="20">
        <v>1000035508</v>
      </c>
      <c r="E58" s="5">
        <v>45504</v>
      </c>
      <c r="F58" s="20" t="s">
        <v>11</v>
      </c>
      <c r="G58" s="7">
        <v>204267792</v>
      </c>
      <c r="H58" s="7">
        <v>0</v>
      </c>
      <c r="I58" s="7">
        <f>OPERATORS[[#This Row],[Total Sales]]-OPERATORS[[#This Row],[Total Payouts]]</f>
        <v>204267792</v>
      </c>
      <c r="J58" s="7">
        <v>0</v>
      </c>
      <c r="K58" s="7">
        <v>133240598</v>
      </c>
      <c r="L58" s="8">
        <v>133240598</v>
      </c>
    </row>
    <row r="59" spans="1:13" s="23" customFormat="1" ht="14" x14ac:dyDescent="0.3">
      <c r="A59" s="18">
        <f>ROW(A58)</f>
        <v>58</v>
      </c>
      <c r="B59" s="19" t="s">
        <v>12</v>
      </c>
      <c r="C59" s="20" t="s">
        <v>74</v>
      </c>
      <c r="D59" s="20" t="str">
        <f t="shared" ref="D59:D90" si="2">IFERROR(VLOOKUP(C59,OPerators_Range,2,FALSE),"")</f>
        <v/>
      </c>
      <c r="E59" s="5">
        <v>45504</v>
      </c>
      <c r="F59" s="20" t="s">
        <v>11</v>
      </c>
      <c r="G59" s="7">
        <v>84398309</v>
      </c>
      <c r="H59" s="7">
        <v>46675470</v>
      </c>
      <c r="I59" s="7">
        <f>OPERATORS[[#This Row],[Total Sales]]-OPERATORS[[#This Row],[Total Payouts]]</f>
        <v>37722839</v>
      </c>
      <c r="J59" s="7">
        <v>7001321</v>
      </c>
      <c r="K59" s="7">
        <v>7862928</v>
      </c>
      <c r="L59" s="8">
        <v>14864248</v>
      </c>
    </row>
    <row r="60" spans="1:13" s="23" customFormat="1" ht="14" x14ac:dyDescent="0.3">
      <c r="A60" s="18">
        <f>ROW(A59)</f>
        <v>59</v>
      </c>
      <c r="B60" s="19" t="s">
        <v>16</v>
      </c>
      <c r="C60" s="20" t="s">
        <v>63</v>
      </c>
      <c r="D60" s="20" t="str">
        <f t="shared" si="2"/>
        <v/>
      </c>
      <c r="E60" s="5">
        <v>45504</v>
      </c>
      <c r="F60" s="20" t="s">
        <v>11</v>
      </c>
      <c r="G60" s="7">
        <v>113958334</v>
      </c>
      <c r="H60" s="7">
        <v>109400000</v>
      </c>
      <c r="I60" s="7">
        <f>OPERATORS[[#This Row],[Total Sales]]-OPERATORS[[#This Row],[Total Payouts]]</f>
        <v>4558334</v>
      </c>
      <c r="J60" s="7">
        <v>0</v>
      </c>
      <c r="K60" s="7">
        <v>1367500</v>
      </c>
      <c r="L60" s="8">
        <v>1367500</v>
      </c>
    </row>
    <row r="61" spans="1:13" s="23" customFormat="1" ht="14" x14ac:dyDescent="0.3">
      <c r="A61" s="18">
        <v>164</v>
      </c>
      <c r="B61" s="19" t="s">
        <v>3</v>
      </c>
      <c r="C61" s="20" t="s">
        <v>71</v>
      </c>
      <c r="D61" s="20" t="str">
        <f t="shared" si="2"/>
        <v/>
      </c>
      <c r="E61" s="5">
        <v>45504</v>
      </c>
      <c r="F61" s="20" t="s">
        <v>11</v>
      </c>
      <c r="G61" s="7">
        <v>108835000</v>
      </c>
      <c r="H61" s="7">
        <v>27850000</v>
      </c>
      <c r="I61" s="7">
        <f>OPERATORS[[#This Row],[Total Sales]]-OPERATORS[[#This Row],[Total Payouts]]</f>
        <v>80985000</v>
      </c>
      <c r="J61" s="7">
        <v>0</v>
      </c>
      <c r="K61" s="7">
        <v>24295500</v>
      </c>
      <c r="L61" s="8">
        <v>24295500</v>
      </c>
    </row>
    <row r="62" spans="1:13" s="23" customFormat="1" ht="14" x14ac:dyDescent="0.3">
      <c r="A62" s="18">
        <f>ROW(A61)</f>
        <v>61</v>
      </c>
      <c r="B62" s="19" t="s">
        <v>3</v>
      </c>
      <c r="C62" s="20" t="s">
        <v>66</v>
      </c>
      <c r="D62" s="20" t="str">
        <f t="shared" si="2"/>
        <v/>
      </c>
      <c r="E62" s="5">
        <v>45504</v>
      </c>
      <c r="F62" s="20" t="s">
        <v>11</v>
      </c>
      <c r="G62" s="7">
        <v>0</v>
      </c>
      <c r="H62" s="7">
        <v>0</v>
      </c>
      <c r="I62" s="7">
        <f>OPERATORS[[#This Row],[Total Sales]]-OPERATORS[[#This Row],[Total Payouts]]</f>
        <v>0</v>
      </c>
      <c r="J62" s="7">
        <v>0</v>
      </c>
      <c r="K62" s="7">
        <v>0</v>
      </c>
      <c r="L62" s="8">
        <v>0</v>
      </c>
    </row>
    <row r="63" spans="1:13" s="23" customFormat="1" ht="14" x14ac:dyDescent="0.3">
      <c r="A63" s="18">
        <v>213</v>
      </c>
      <c r="B63" s="19" t="s">
        <v>12</v>
      </c>
      <c r="C63" s="20" t="s">
        <v>29</v>
      </c>
      <c r="D63" s="20" t="str">
        <f t="shared" si="2"/>
        <v/>
      </c>
      <c r="E63" s="5">
        <v>45504</v>
      </c>
      <c r="F63" s="20" t="s">
        <v>11</v>
      </c>
      <c r="G63" s="7">
        <v>718084391</v>
      </c>
      <c r="H63" s="7">
        <v>567931629</v>
      </c>
      <c r="I63" s="7">
        <f>OPERATORS[[#This Row],[Total Sales]]-OPERATORS[[#This Row],[Total Payouts]]</f>
        <v>150152762</v>
      </c>
      <c r="J63" s="7">
        <v>85189744</v>
      </c>
      <c r="K63" s="7">
        <v>32000154</v>
      </c>
      <c r="L63" s="8">
        <v>117189899</v>
      </c>
    </row>
    <row r="64" spans="1:13" s="23" customFormat="1" ht="14" x14ac:dyDescent="0.3">
      <c r="A64" s="18" t="e">
        <f>ROW(#REF!)</f>
        <v>#REF!</v>
      </c>
      <c r="B64" s="19" t="s">
        <v>3</v>
      </c>
      <c r="C64" s="20" t="s">
        <v>54</v>
      </c>
      <c r="D64" s="20" t="str">
        <f t="shared" si="2"/>
        <v/>
      </c>
      <c r="E64" s="5">
        <v>45504</v>
      </c>
      <c r="F64" s="20" t="s">
        <v>11</v>
      </c>
      <c r="G64" s="7">
        <v>11601000</v>
      </c>
      <c r="H64" s="7">
        <v>4039000</v>
      </c>
      <c r="I64" s="7">
        <v>7562000</v>
      </c>
      <c r="J64" s="7"/>
      <c r="K64" s="7">
        <v>2268600</v>
      </c>
      <c r="L64" s="8">
        <f>OPERATORS[[#This Row],[Withholding Tax]]+OPERATORS[[#This Row],[Gaming Tax]]</f>
        <v>2268600</v>
      </c>
    </row>
    <row r="65" spans="1:12" s="23" customFormat="1" ht="14" x14ac:dyDescent="0.3">
      <c r="A65" s="18">
        <f>ROW(A64)</f>
        <v>64</v>
      </c>
      <c r="B65" s="3" t="s">
        <v>12</v>
      </c>
      <c r="C65" s="6" t="s">
        <v>54</v>
      </c>
      <c r="D65" s="35" t="str">
        <f t="shared" si="2"/>
        <v/>
      </c>
      <c r="E65" s="5">
        <v>45504</v>
      </c>
      <c r="F65" s="6" t="s">
        <v>11</v>
      </c>
      <c r="G65" s="7">
        <v>45520000</v>
      </c>
      <c r="H65" s="7">
        <v>19772000</v>
      </c>
      <c r="I65" s="7">
        <f>OPERATORS[[#This Row],[Total Sales]]-OPERATORS[[#This Row],[Total Payouts]]</f>
        <v>25748000</v>
      </c>
      <c r="J65" s="7">
        <v>2965800</v>
      </c>
      <c r="K65" s="7">
        <v>5149600</v>
      </c>
      <c r="L65" s="8">
        <f>OPERATORS[[#This Row],[Withholding Tax]]+OPERATORS[[#This Row],[Gaming Tax]]</f>
        <v>8115400</v>
      </c>
    </row>
    <row r="66" spans="1:12" s="23" customFormat="1" ht="14" x14ac:dyDescent="0.3">
      <c r="A66" s="18">
        <f>ROW(A65)</f>
        <v>65</v>
      </c>
      <c r="B66" s="3" t="s">
        <v>16</v>
      </c>
      <c r="C66" s="6" t="s">
        <v>35</v>
      </c>
      <c r="D66" s="35" t="str">
        <f t="shared" si="2"/>
        <v/>
      </c>
      <c r="E66" s="5">
        <v>45504</v>
      </c>
      <c r="F66" s="6" t="s">
        <v>11</v>
      </c>
      <c r="G66" s="7">
        <v>672691000</v>
      </c>
      <c r="H66" s="7">
        <v>642760090</v>
      </c>
      <c r="I66" s="7">
        <f>OPERATORS[[#This Row],[Total Sales]]-OPERATORS[[#This Row],[Total Payouts]]</f>
        <v>29930910</v>
      </c>
      <c r="J66" s="7"/>
      <c r="K66" s="7">
        <v>8979273</v>
      </c>
      <c r="L66" s="8">
        <f>OPERATORS[[#This Row],[Withholding Tax]]+OPERATORS[[#This Row],[Gaming Tax]]</f>
        <v>8979273</v>
      </c>
    </row>
    <row r="67" spans="1:12" s="23" customFormat="1" ht="14" x14ac:dyDescent="0.3">
      <c r="A67" s="18">
        <v>329</v>
      </c>
      <c r="B67" s="3" t="s">
        <v>12</v>
      </c>
      <c r="C67" s="6" t="s">
        <v>35</v>
      </c>
      <c r="D67" s="35" t="str">
        <f t="shared" si="2"/>
        <v/>
      </c>
      <c r="E67" s="5">
        <v>45504</v>
      </c>
      <c r="F67" s="6" t="s">
        <v>11</v>
      </c>
      <c r="G67" s="7">
        <v>2028608000</v>
      </c>
      <c r="H67" s="7">
        <v>1976170000</v>
      </c>
      <c r="I67" s="7">
        <f>OPERATORS[[#This Row],[Total Sales]]-OPERATORS[[#This Row],[Total Payouts]]</f>
        <v>52438000</v>
      </c>
      <c r="J67" s="7">
        <v>296425500</v>
      </c>
      <c r="K67" s="7">
        <v>13013400</v>
      </c>
      <c r="L67" s="8">
        <f>OPERATORS[[#This Row],[Withholding Tax]]+OPERATORS[[#This Row],[Gaming Tax]]</f>
        <v>309438900</v>
      </c>
    </row>
    <row r="68" spans="1:12" s="23" customFormat="1" ht="14" x14ac:dyDescent="0.3">
      <c r="A68" s="18">
        <f>ROW(A67)</f>
        <v>67</v>
      </c>
      <c r="B68" s="3" t="s">
        <v>12</v>
      </c>
      <c r="C68" s="6" t="s">
        <v>58</v>
      </c>
      <c r="D68" s="35" t="str">
        <f t="shared" si="2"/>
        <v/>
      </c>
      <c r="E68" s="5">
        <v>45504</v>
      </c>
      <c r="F68" s="6" t="s">
        <v>11</v>
      </c>
      <c r="G68" s="7">
        <v>6156323049</v>
      </c>
      <c r="H68" s="7">
        <v>5841593695</v>
      </c>
      <c r="I68" s="7">
        <f>OPERATORS[[#This Row],[Total Sales]]-OPERATORS[[#This Row],[Total Payouts]]</f>
        <v>314729354</v>
      </c>
      <c r="J68" s="7">
        <v>876239054</v>
      </c>
      <c r="K68" s="7">
        <v>67498599</v>
      </c>
      <c r="L68" s="8">
        <v>943737653</v>
      </c>
    </row>
    <row r="69" spans="1:12" s="23" customFormat="1" ht="14" x14ac:dyDescent="0.3">
      <c r="A69" s="18">
        <v>330</v>
      </c>
      <c r="B69" s="3" t="s">
        <v>16</v>
      </c>
      <c r="C69" s="6" t="s">
        <v>58</v>
      </c>
      <c r="D69" s="35" t="str">
        <f t="shared" si="2"/>
        <v/>
      </c>
      <c r="E69" s="5">
        <v>45504</v>
      </c>
      <c r="F69" s="6" t="s">
        <v>11</v>
      </c>
      <c r="G69" s="7">
        <v>4077197050</v>
      </c>
      <c r="H69" s="7">
        <v>3948919730</v>
      </c>
      <c r="I69" s="7">
        <f>OPERATORS[[#This Row],[Total Sales]]-OPERATORS[[#This Row],[Total Payouts]]</f>
        <v>128277320</v>
      </c>
      <c r="J69" s="7">
        <v>0</v>
      </c>
      <c r="K69" s="7">
        <v>44344941</v>
      </c>
      <c r="L69" s="8">
        <v>44344941</v>
      </c>
    </row>
    <row r="70" spans="1:12" s="23" customFormat="1" ht="14" x14ac:dyDescent="0.3">
      <c r="A70" s="18">
        <v>8</v>
      </c>
      <c r="B70" s="19" t="s">
        <v>12</v>
      </c>
      <c r="C70" s="20" t="s">
        <v>50</v>
      </c>
      <c r="D70" s="20" t="str">
        <f t="shared" si="2"/>
        <v/>
      </c>
      <c r="E70" s="5">
        <v>45535</v>
      </c>
      <c r="F70" s="20" t="s">
        <v>11</v>
      </c>
      <c r="G70" s="7">
        <v>18574854</v>
      </c>
      <c r="H70" s="7">
        <v>3162629</v>
      </c>
      <c r="I70" s="7">
        <f>OPERATORS[[#This Row],[Total Sales]]-OPERATORS[[#This Row],[Total Payouts]]</f>
        <v>15412225</v>
      </c>
      <c r="J70" s="7">
        <v>474394</v>
      </c>
      <c r="K70" s="7">
        <v>3082445</v>
      </c>
      <c r="L70" s="8">
        <v>3556839</v>
      </c>
    </row>
    <row r="71" spans="1:12" s="23" customFormat="1" ht="14" x14ac:dyDescent="0.3">
      <c r="A71" s="18">
        <f>ROW(A70)</f>
        <v>70</v>
      </c>
      <c r="B71" s="19" t="s">
        <v>12</v>
      </c>
      <c r="C71" s="20" t="s">
        <v>75</v>
      </c>
      <c r="D71" s="20" t="str">
        <f t="shared" si="2"/>
        <v/>
      </c>
      <c r="E71" s="5">
        <v>45535</v>
      </c>
      <c r="F71" s="20" t="s">
        <v>11</v>
      </c>
      <c r="G71" s="7" t="s">
        <v>19</v>
      </c>
      <c r="H71" s="7" t="s">
        <v>19</v>
      </c>
      <c r="I71" s="7">
        <v>0</v>
      </c>
      <c r="J71" s="7" t="s">
        <v>20</v>
      </c>
      <c r="K71" s="7" t="s">
        <v>20</v>
      </c>
      <c r="L71" s="8" t="s">
        <v>20</v>
      </c>
    </row>
    <row r="72" spans="1:12" s="23" customFormat="1" ht="14" x14ac:dyDescent="0.3">
      <c r="A72" s="18">
        <v>25</v>
      </c>
      <c r="B72" s="19" t="s">
        <v>3</v>
      </c>
      <c r="C72" s="20" t="s">
        <v>44</v>
      </c>
      <c r="D72" s="20" t="str">
        <f t="shared" si="2"/>
        <v/>
      </c>
      <c r="E72" s="5">
        <v>45535</v>
      </c>
      <c r="F72" s="20" t="s">
        <v>11</v>
      </c>
      <c r="G72" s="7">
        <v>2784837.79</v>
      </c>
      <c r="H72" s="7">
        <v>2621603.6</v>
      </c>
      <c r="I72" s="7">
        <f>OPERATORS[[#This Row],[Total Sales]]-OPERATORS[[#This Row],[Total Payouts]]</f>
        <v>163234.18999999994</v>
      </c>
      <c r="J72" s="7">
        <v>0</v>
      </c>
      <c r="K72" s="7">
        <v>87893</v>
      </c>
      <c r="L72" s="8">
        <v>87893</v>
      </c>
    </row>
    <row r="73" spans="1:12" s="23" customFormat="1" ht="14" x14ac:dyDescent="0.3">
      <c r="A73" s="18">
        <f>ROW(A72)</f>
        <v>72</v>
      </c>
      <c r="B73" s="19" t="s">
        <v>3</v>
      </c>
      <c r="C73" s="20" t="s">
        <v>65</v>
      </c>
      <c r="D73" s="20" t="str">
        <f t="shared" si="2"/>
        <v/>
      </c>
      <c r="E73" s="5">
        <v>45535</v>
      </c>
      <c r="F73" s="20" t="s">
        <v>11</v>
      </c>
      <c r="G73" s="7" t="s">
        <v>19</v>
      </c>
      <c r="H73" s="7" t="s">
        <v>19</v>
      </c>
      <c r="I73" s="7">
        <v>0</v>
      </c>
      <c r="J73" s="7" t="s">
        <v>20</v>
      </c>
      <c r="K73" s="7"/>
      <c r="L73" s="8" t="s">
        <v>20</v>
      </c>
    </row>
    <row r="74" spans="1:12" s="23" customFormat="1" ht="14" x14ac:dyDescent="0.3">
      <c r="A74" s="18">
        <v>26</v>
      </c>
      <c r="B74" s="19" t="s">
        <v>12</v>
      </c>
      <c r="C74" s="20" t="s">
        <v>65</v>
      </c>
      <c r="D74" s="20" t="str">
        <f t="shared" si="2"/>
        <v/>
      </c>
      <c r="E74" s="5">
        <v>45535</v>
      </c>
      <c r="F74" s="20" t="s">
        <v>11</v>
      </c>
      <c r="G74" s="7" t="s">
        <v>19</v>
      </c>
      <c r="H74" s="7" t="s">
        <v>19</v>
      </c>
      <c r="I74" s="7">
        <v>0</v>
      </c>
      <c r="J74" s="7" t="s">
        <v>20</v>
      </c>
      <c r="K74" s="7" t="s">
        <v>20</v>
      </c>
      <c r="L74" s="8" t="s">
        <v>20</v>
      </c>
    </row>
    <row r="75" spans="1:12" s="23" customFormat="1" ht="14" x14ac:dyDescent="0.3">
      <c r="A75" s="18">
        <f>ROW(A74)</f>
        <v>74</v>
      </c>
      <c r="B75" s="19" t="s">
        <v>3</v>
      </c>
      <c r="C75" s="20" t="s">
        <v>73</v>
      </c>
      <c r="D75" s="20" t="str">
        <f t="shared" si="2"/>
        <v/>
      </c>
      <c r="E75" s="5">
        <v>45535</v>
      </c>
      <c r="F75" s="20" t="s">
        <v>11</v>
      </c>
      <c r="G75" s="7" t="s">
        <v>19</v>
      </c>
      <c r="H75" s="7" t="s">
        <v>19</v>
      </c>
      <c r="I75" s="7">
        <v>0</v>
      </c>
      <c r="J75" s="7" t="s">
        <v>20</v>
      </c>
      <c r="K75" s="7"/>
      <c r="L75" s="8" t="s">
        <v>20</v>
      </c>
    </row>
    <row r="76" spans="1:12" s="23" customFormat="1" ht="14" x14ac:dyDescent="0.3">
      <c r="A76" s="18">
        <v>27</v>
      </c>
      <c r="B76" s="19" t="s">
        <v>12</v>
      </c>
      <c r="C76" s="20" t="s">
        <v>73</v>
      </c>
      <c r="D76" s="20" t="str">
        <f t="shared" si="2"/>
        <v/>
      </c>
      <c r="E76" s="5">
        <v>45535</v>
      </c>
      <c r="F76" s="20" t="s">
        <v>11</v>
      </c>
      <c r="G76" s="7" t="s">
        <v>19</v>
      </c>
      <c r="H76" s="7" t="s">
        <v>19</v>
      </c>
      <c r="I76" s="7">
        <v>0</v>
      </c>
      <c r="J76" s="7" t="s">
        <v>20</v>
      </c>
      <c r="K76" s="7" t="s">
        <v>20</v>
      </c>
      <c r="L76" s="8" t="s">
        <v>20</v>
      </c>
    </row>
    <row r="77" spans="1:12" s="23" customFormat="1" ht="14" x14ac:dyDescent="0.3">
      <c r="A77" s="18">
        <f>ROW(A76)</f>
        <v>76</v>
      </c>
      <c r="B77" s="19" t="s">
        <v>12</v>
      </c>
      <c r="C77" s="20" t="s">
        <v>61</v>
      </c>
      <c r="D77" s="20" t="str">
        <f t="shared" si="2"/>
        <v/>
      </c>
      <c r="E77" s="5">
        <v>45535</v>
      </c>
      <c r="F77" s="20" t="s">
        <v>11</v>
      </c>
      <c r="G77" s="7">
        <v>958636400</v>
      </c>
      <c r="H77" s="7">
        <v>459826100</v>
      </c>
      <c r="I77" s="7">
        <f>OPERATORS[[#This Row],[Total Sales]]-OPERATORS[[#This Row],[Total Payouts]]</f>
        <v>498810300</v>
      </c>
      <c r="J77" s="7">
        <v>68973915</v>
      </c>
      <c r="K77" s="7">
        <v>99762060</v>
      </c>
      <c r="L77" s="8">
        <v>168735975</v>
      </c>
    </row>
    <row r="78" spans="1:12" s="23" customFormat="1" ht="14" x14ac:dyDescent="0.3">
      <c r="A78" s="18">
        <v>28</v>
      </c>
      <c r="B78" s="19" t="s">
        <v>16</v>
      </c>
      <c r="C78" s="20" t="s">
        <v>61</v>
      </c>
      <c r="D78" s="20" t="str">
        <f t="shared" si="2"/>
        <v/>
      </c>
      <c r="E78" s="5">
        <v>45535</v>
      </c>
      <c r="F78" s="20" t="s">
        <v>11</v>
      </c>
      <c r="G78" s="7">
        <v>637112000</v>
      </c>
      <c r="H78" s="7">
        <v>527586000</v>
      </c>
      <c r="I78" s="7">
        <f>OPERATORS[[#This Row],[Total Sales]]-OPERATORS[[#This Row],[Total Payouts]]</f>
        <v>109526000</v>
      </c>
      <c r="J78" s="7">
        <v>0</v>
      </c>
      <c r="K78" s="7">
        <v>32857800</v>
      </c>
      <c r="L78" s="8">
        <v>32857800</v>
      </c>
    </row>
    <row r="79" spans="1:12" s="23" customFormat="1" ht="14" x14ac:dyDescent="0.3">
      <c r="A79" s="18">
        <f>ROW(A78)</f>
        <v>78</v>
      </c>
      <c r="B79" s="19" t="s">
        <v>12</v>
      </c>
      <c r="C79" s="20" t="s">
        <v>78</v>
      </c>
      <c r="D79" s="20" t="str">
        <f t="shared" si="2"/>
        <v/>
      </c>
      <c r="E79" s="5">
        <v>45535</v>
      </c>
      <c r="F79" s="20" t="s">
        <v>11</v>
      </c>
      <c r="G79" s="7">
        <v>158516631.18000001</v>
      </c>
      <c r="H79" s="7">
        <v>131086680.44</v>
      </c>
      <c r="I79" s="7">
        <f>OPERATORS[[#This Row],[Total Sales]]-OPERATORS[[#This Row],[Total Payouts]]</f>
        <v>27429950.74000001</v>
      </c>
      <c r="J79" s="7">
        <v>19663002</v>
      </c>
      <c r="K79" s="7">
        <v>5782597</v>
      </c>
      <c r="L79" s="8">
        <v>25445599</v>
      </c>
    </row>
    <row r="80" spans="1:12" s="23" customFormat="1" ht="14" x14ac:dyDescent="0.3">
      <c r="A80" s="18">
        <v>29</v>
      </c>
      <c r="B80" s="19" t="s">
        <v>12</v>
      </c>
      <c r="C80" s="20" t="s">
        <v>37</v>
      </c>
      <c r="D80" s="20" t="str">
        <f t="shared" si="2"/>
        <v/>
      </c>
      <c r="E80" s="5">
        <v>45535</v>
      </c>
      <c r="F80" s="20" t="s">
        <v>11</v>
      </c>
      <c r="G80" s="7">
        <v>971026709</v>
      </c>
      <c r="H80" s="7">
        <v>920698081</v>
      </c>
      <c r="I80" s="7">
        <f>OPERATORS[[#This Row],[Total Sales]]-OPERATORS[[#This Row],[Total Payouts]]</f>
        <v>50328628</v>
      </c>
      <c r="J80" s="7">
        <v>138104712</v>
      </c>
      <c r="K80" s="7">
        <v>59278314</v>
      </c>
      <c r="L80" s="8">
        <v>197383026</v>
      </c>
    </row>
    <row r="81" spans="1:13" s="23" customFormat="1" ht="14" x14ac:dyDescent="0.3">
      <c r="A81" s="18">
        <f>ROW(A80)</f>
        <v>80</v>
      </c>
      <c r="B81" s="19" t="s">
        <v>12</v>
      </c>
      <c r="C81" s="20" t="s">
        <v>44</v>
      </c>
      <c r="D81" s="20" t="str">
        <f t="shared" si="2"/>
        <v/>
      </c>
      <c r="E81" s="5">
        <v>45535</v>
      </c>
      <c r="F81" s="20" t="s">
        <v>11</v>
      </c>
      <c r="G81" s="7" t="s">
        <v>19</v>
      </c>
      <c r="H81" s="7" t="s">
        <v>19</v>
      </c>
      <c r="I81" s="7">
        <v>0</v>
      </c>
      <c r="J81" s="7" t="s">
        <v>19</v>
      </c>
      <c r="K81" s="7" t="s">
        <v>19</v>
      </c>
      <c r="L81" s="8" t="s">
        <v>19</v>
      </c>
    </row>
    <row r="82" spans="1:13" s="23" customFormat="1" ht="14" x14ac:dyDescent="0.3">
      <c r="A82" s="18">
        <v>30</v>
      </c>
      <c r="B82" s="19" t="s">
        <v>12</v>
      </c>
      <c r="C82" s="20" t="s">
        <v>41</v>
      </c>
      <c r="D82" s="20" t="str">
        <f t="shared" si="2"/>
        <v/>
      </c>
      <c r="E82" s="5">
        <v>45535</v>
      </c>
      <c r="F82" s="20" t="s">
        <v>11</v>
      </c>
      <c r="G82" s="7">
        <v>264502664516</v>
      </c>
      <c r="H82" s="7">
        <v>246173517947</v>
      </c>
      <c r="I82" s="7">
        <f>OPERATORS[[#This Row],[Total Sales]]-OPERATORS[[#This Row],[Total Payouts]]</f>
        <v>18329146569</v>
      </c>
      <c r="J82" s="7">
        <v>36926027692</v>
      </c>
      <c r="K82" s="7">
        <v>5718627017</v>
      </c>
      <c r="L82" s="8">
        <v>42644654709</v>
      </c>
    </row>
    <row r="83" spans="1:13" s="23" customFormat="1" ht="14" x14ac:dyDescent="0.3">
      <c r="A83" s="18">
        <f>ROW(A82)</f>
        <v>82</v>
      </c>
      <c r="B83" s="19" t="s">
        <v>3</v>
      </c>
      <c r="C83" s="20" t="s">
        <v>41</v>
      </c>
      <c r="D83" s="20" t="str">
        <f t="shared" si="2"/>
        <v/>
      </c>
      <c r="E83" s="5">
        <v>45535</v>
      </c>
      <c r="F83" s="20" t="s">
        <v>11</v>
      </c>
      <c r="G83" s="7">
        <v>226600630655</v>
      </c>
      <c r="H83" s="7">
        <v>218669839666</v>
      </c>
      <c r="I83" s="7">
        <f>OPERATORS[[#This Row],[Total Sales]]-OPERATORS[[#This Row],[Total Payouts]]</f>
        <v>7930790989</v>
      </c>
      <c r="J83" s="7">
        <v>0</v>
      </c>
      <c r="K83" s="7">
        <v>2379237297</v>
      </c>
      <c r="L83" s="8">
        <v>2379237297</v>
      </c>
    </row>
    <row r="84" spans="1:13" s="23" customFormat="1" ht="14" x14ac:dyDescent="0.3">
      <c r="A84" s="18">
        <v>31</v>
      </c>
      <c r="B84" s="19" t="s">
        <v>3</v>
      </c>
      <c r="C84" s="20" t="s">
        <v>40</v>
      </c>
      <c r="D84" s="20" t="str">
        <f t="shared" si="2"/>
        <v/>
      </c>
      <c r="E84" s="5">
        <v>45535</v>
      </c>
      <c r="F84" s="20" t="s">
        <v>11</v>
      </c>
      <c r="G84" s="7">
        <v>72550000</v>
      </c>
      <c r="H84" s="7">
        <v>26920000</v>
      </c>
      <c r="I84" s="7">
        <f>OPERATORS[[#This Row],[Total Sales]]-OPERATORS[[#This Row],[Total Payouts]]</f>
        <v>45630000</v>
      </c>
      <c r="J84" s="7">
        <v>0</v>
      </c>
      <c r="K84" s="7">
        <v>13689000</v>
      </c>
      <c r="L84" s="8">
        <v>13689000</v>
      </c>
    </row>
    <row r="85" spans="1:13" s="23" customFormat="1" ht="14" x14ac:dyDescent="0.3">
      <c r="A85" s="18">
        <f>ROW(A84)</f>
        <v>84</v>
      </c>
      <c r="B85" s="19" t="s">
        <v>3</v>
      </c>
      <c r="C85" s="20" t="s">
        <v>76</v>
      </c>
      <c r="D85" s="20" t="str">
        <f t="shared" si="2"/>
        <v/>
      </c>
      <c r="E85" s="5">
        <v>45535</v>
      </c>
      <c r="F85" s="20" t="s">
        <v>11</v>
      </c>
      <c r="G85" s="7">
        <v>1000000</v>
      </c>
      <c r="H85" s="7">
        <v>0</v>
      </c>
      <c r="I85" s="7">
        <f>OPERATORS[[#This Row],[Total Sales]]-OPERATORS[[#This Row],[Total Payouts]]</f>
        <v>1000000</v>
      </c>
      <c r="J85" s="7">
        <v>0</v>
      </c>
      <c r="K85" s="7">
        <v>300000</v>
      </c>
      <c r="L85" s="8">
        <v>300000</v>
      </c>
    </row>
    <row r="86" spans="1:13" s="23" customFormat="1" ht="14" x14ac:dyDescent="0.3">
      <c r="A86" s="18">
        <v>32</v>
      </c>
      <c r="B86" s="19" t="s">
        <v>12</v>
      </c>
      <c r="C86" s="20" t="s">
        <v>36</v>
      </c>
      <c r="D86" s="20" t="str">
        <f t="shared" si="2"/>
        <v/>
      </c>
      <c r="E86" s="5">
        <v>45535</v>
      </c>
      <c r="F86" s="20" t="s">
        <v>11</v>
      </c>
      <c r="G86" s="7">
        <v>211932795</v>
      </c>
      <c r="H86" s="7">
        <v>209582314</v>
      </c>
      <c r="I86" s="7">
        <f>OPERATORS[[#This Row],[Total Sales]]-OPERATORS[[#This Row],[Total Payouts]]</f>
        <v>2350481</v>
      </c>
      <c r="J86" s="7">
        <v>31437347.099999998</v>
      </c>
      <c r="K86" s="7">
        <v>4417513.0000000009</v>
      </c>
      <c r="L86" s="8">
        <v>35854860.100000009</v>
      </c>
    </row>
    <row r="87" spans="1:13" s="23" customFormat="1" ht="14" x14ac:dyDescent="0.3">
      <c r="A87" s="18">
        <f>ROW(A86)</f>
        <v>86</v>
      </c>
      <c r="B87" s="19" t="s">
        <v>16</v>
      </c>
      <c r="C87" s="20" t="s">
        <v>36</v>
      </c>
      <c r="D87" s="20" t="str">
        <f t="shared" si="2"/>
        <v/>
      </c>
      <c r="E87" s="5">
        <v>45535</v>
      </c>
      <c r="F87" s="20" t="s">
        <v>11</v>
      </c>
      <c r="G87" s="7">
        <v>259077450</v>
      </c>
      <c r="H87" s="7">
        <v>222479499</v>
      </c>
      <c r="I87" s="7">
        <f>OPERATORS[[#This Row],[Total Sales]]-OPERATORS[[#This Row],[Total Payouts]]</f>
        <v>36597951</v>
      </c>
      <c r="J87" s="7">
        <v>0</v>
      </c>
      <c r="K87" s="7">
        <v>11838746.699999999</v>
      </c>
      <c r="L87" s="8">
        <v>11838746.699999999</v>
      </c>
    </row>
    <row r="88" spans="1:13" s="23" customFormat="1" ht="14" x14ac:dyDescent="0.3">
      <c r="A88" s="18">
        <f>ROW(A87)</f>
        <v>87</v>
      </c>
      <c r="B88" s="19" t="s">
        <v>3</v>
      </c>
      <c r="C88" s="20" t="s">
        <v>48</v>
      </c>
      <c r="D88" s="20" t="str">
        <f t="shared" si="2"/>
        <v/>
      </c>
      <c r="E88" s="5">
        <v>45535</v>
      </c>
      <c r="F88" s="20" t="s">
        <v>11</v>
      </c>
      <c r="G88" s="7">
        <v>894266000</v>
      </c>
      <c r="H88" s="7">
        <v>109472500</v>
      </c>
      <c r="I88" s="7">
        <f>OPERATORS[[#This Row],[Total Sales]]-OPERATORS[[#This Row],[Total Payouts]]</f>
        <v>784793500</v>
      </c>
      <c r="J88" s="7">
        <v>0</v>
      </c>
      <c r="K88" s="7">
        <v>268279800</v>
      </c>
      <c r="L88" s="8">
        <v>268279800</v>
      </c>
    </row>
    <row r="89" spans="1:13" s="23" customFormat="1" ht="14" x14ac:dyDescent="0.3">
      <c r="A89" s="18">
        <v>34</v>
      </c>
      <c r="B89" s="19" t="s">
        <v>12</v>
      </c>
      <c r="C89" s="20" t="s">
        <v>64</v>
      </c>
      <c r="D89" s="20" t="str">
        <f t="shared" si="2"/>
        <v/>
      </c>
      <c r="E89" s="5">
        <v>45535</v>
      </c>
      <c r="F89" s="20" t="s">
        <v>11</v>
      </c>
      <c r="G89" s="7">
        <v>326779625</v>
      </c>
      <c r="H89" s="7">
        <v>191598145</v>
      </c>
      <c r="I89" s="7">
        <f>OPERATORS[[#This Row],[Total Sales]]-OPERATORS[[#This Row],[Total Payouts]]</f>
        <v>135181480</v>
      </c>
      <c r="J89" s="7">
        <v>28739722</v>
      </c>
      <c r="K89" s="7">
        <v>27036296</v>
      </c>
      <c r="L89" s="8">
        <v>55776018</v>
      </c>
    </row>
    <row r="90" spans="1:13" s="23" customFormat="1" ht="14" x14ac:dyDescent="0.3">
      <c r="A90" s="18">
        <f>ROW(A89)</f>
        <v>89</v>
      </c>
      <c r="B90" s="19" t="s">
        <v>3</v>
      </c>
      <c r="C90" s="20" t="s">
        <v>64</v>
      </c>
      <c r="D90" s="20" t="str">
        <f t="shared" si="2"/>
        <v/>
      </c>
      <c r="E90" s="5">
        <v>45535</v>
      </c>
      <c r="F90" s="20" t="s">
        <v>11</v>
      </c>
      <c r="G90" s="7">
        <v>371766163</v>
      </c>
      <c r="H90" s="7">
        <v>248529342</v>
      </c>
      <c r="I90" s="7">
        <f>OPERATORS[[#This Row],[Total Sales]]-OPERATORS[[#This Row],[Total Payouts]]</f>
        <v>123236821</v>
      </c>
      <c r="J90" s="7">
        <v>0</v>
      </c>
      <c r="K90" s="7">
        <v>36971046</v>
      </c>
      <c r="L90" s="8">
        <v>36971046</v>
      </c>
    </row>
    <row r="91" spans="1:13" s="23" customFormat="1" ht="14" x14ac:dyDescent="0.3">
      <c r="A91" s="18">
        <v>35</v>
      </c>
      <c r="B91" s="19" t="s">
        <v>12</v>
      </c>
      <c r="C91" s="20" t="s">
        <v>42</v>
      </c>
      <c r="D91" s="20" t="str">
        <f t="shared" ref="D91:D122" si="3">IFERROR(VLOOKUP(C91,OPerators_Range,2,FALSE),"")</f>
        <v/>
      </c>
      <c r="E91" s="5">
        <v>45535</v>
      </c>
      <c r="F91" s="20" t="s">
        <v>11</v>
      </c>
      <c r="G91" s="7">
        <v>25196354</v>
      </c>
      <c r="H91" s="7">
        <v>10080871</v>
      </c>
      <c r="I91" s="7">
        <f>OPERATORS[[#This Row],[Total Sales]]-OPERATORS[[#This Row],[Total Payouts]]</f>
        <v>15115483</v>
      </c>
      <c r="J91" s="7">
        <v>1512131</v>
      </c>
      <c r="K91" s="7">
        <v>3023097</v>
      </c>
      <c r="L91" s="8">
        <v>4535227</v>
      </c>
    </row>
    <row r="92" spans="1:13" s="23" customFormat="1" ht="14" x14ac:dyDescent="0.3">
      <c r="A92" s="18">
        <f>ROW(A91)</f>
        <v>91</v>
      </c>
      <c r="B92" s="19" t="s">
        <v>3</v>
      </c>
      <c r="C92" s="20" t="s">
        <v>42</v>
      </c>
      <c r="D92" s="20" t="str">
        <f t="shared" si="3"/>
        <v/>
      </c>
      <c r="E92" s="5">
        <v>45535</v>
      </c>
      <c r="F92" s="20" t="s">
        <v>11</v>
      </c>
      <c r="G92" s="7">
        <v>9547091</v>
      </c>
      <c r="H92" s="7">
        <v>6268946</v>
      </c>
      <c r="I92" s="7">
        <f>OPERATORS[[#This Row],[Total Sales]]-OPERATORS[[#This Row],[Total Payouts]]</f>
        <v>3278145</v>
      </c>
      <c r="J92" s="7">
        <v>0</v>
      </c>
      <c r="K92" s="7">
        <v>983444</v>
      </c>
      <c r="L92" s="8">
        <v>983444</v>
      </c>
      <c r="M92" s="26"/>
    </row>
    <row r="93" spans="1:13" s="23" customFormat="1" ht="14" x14ac:dyDescent="0.3">
      <c r="A93" s="18">
        <v>36</v>
      </c>
      <c r="B93" s="19" t="s">
        <v>16</v>
      </c>
      <c r="C93" s="20" t="s">
        <v>69</v>
      </c>
      <c r="D93" s="20" t="str">
        <f t="shared" si="3"/>
        <v/>
      </c>
      <c r="E93" s="5">
        <v>45535</v>
      </c>
      <c r="F93" s="20" t="s">
        <v>11</v>
      </c>
      <c r="G93" s="7">
        <v>650999400</v>
      </c>
      <c r="H93" s="7">
        <v>551129270</v>
      </c>
      <c r="I93" s="7">
        <f>OPERATORS[[#This Row],[Total Sales]]-OPERATORS[[#This Row],[Total Payouts]]</f>
        <v>99870130</v>
      </c>
      <c r="J93" s="7">
        <v>0</v>
      </c>
      <c r="K93" s="7">
        <v>29961039</v>
      </c>
      <c r="L93" s="8">
        <v>29961039</v>
      </c>
      <c r="M93" s="26"/>
    </row>
    <row r="94" spans="1:13" s="23" customFormat="1" ht="14" x14ac:dyDescent="0.3">
      <c r="A94" s="18">
        <f>ROW(A93)</f>
        <v>93</v>
      </c>
      <c r="B94" s="19" t="s">
        <v>12</v>
      </c>
      <c r="C94" s="20" t="s">
        <v>28</v>
      </c>
      <c r="D94" s="20" t="str">
        <f t="shared" si="3"/>
        <v/>
      </c>
      <c r="E94" s="5">
        <v>45535</v>
      </c>
      <c r="F94" s="20" t="s">
        <v>11</v>
      </c>
      <c r="G94" s="7">
        <v>1130917005</v>
      </c>
      <c r="H94" s="7">
        <v>848410062</v>
      </c>
      <c r="I94" s="7">
        <f>OPERATORS[[#This Row],[Total Sales]]-OPERATORS[[#This Row],[Total Payouts]]</f>
        <v>282506943</v>
      </c>
      <c r="J94" s="7">
        <v>127261509</v>
      </c>
      <c r="K94" s="7">
        <v>56501389</v>
      </c>
      <c r="L94" s="8">
        <v>183762898</v>
      </c>
    </row>
    <row r="95" spans="1:13" s="23" customFormat="1" ht="14" x14ac:dyDescent="0.3">
      <c r="A95" s="18">
        <f>ROW(A94)</f>
        <v>94</v>
      </c>
      <c r="B95" s="19" t="s">
        <v>12</v>
      </c>
      <c r="C95" s="20" t="s">
        <v>67</v>
      </c>
      <c r="D95" s="20" t="str">
        <f t="shared" si="3"/>
        <v/>
      </c>
      <c r="E95" s="5">
        <v>45535</v>
      </c>
      <c r="F95" s="20" t="s">
        <v>11</v>
      </c>
      <c r="G95" s="7">
        <v>701639234.36999989</v>
      </c>
      <c r="H95" s="7">
        <v>436610448.84000015</v>
      </c>
      <c r="I95" s="7">
        <f>OPERATORS[[#This Row],[Total Sales]]-OPERATORS[[#This Row],[Total Payouts]]</f>
        <v>265028785.52999973</v>
      </c>
      <c r="J95" s="7">
        <v>65491567.326000012</v>
      </c>
      <c r="K95" s="7">
        <v>53364276.517599985</v>
      </c>
      <c r="L95" s="8">
        <v>118855843.8436</v>
      </c>
    </row>
    <row r="96" spans="1:13" s="23" customFormat="1" ht="14" x14ac:dyDescent="0.3">
      <c r="A96" s="18">
        <v>39</v>
      </c>
      <c r="B96" s="19" t="s">
        <v>12</v>
      </c>
      <c r="C96" s="20" t="s">
        <v>72</v>
      </c>
      <c r="D96" s="20" t="str">
        <f t="shared" si="3"/>
        <v/>
      </c>
      <c r="E96" s="5">
        <v>45535</v>
      </c>
      <c r="F96" s="20" t="s">
        <v>11</v>
      </c>
      <c r="G96" s="7">
        <v>50996171</v>
      </c>
      <c r="H96" s="7">
        <v>43731037</v>
      </c>
      <c r="I96" s="7">
        <f>OPERATORS[[#This Row],[Total Sales]]-OPERATORS[[#This Row],[Total Payouts]]</f>
        <v>7265134</v>
      </c>
      <c r="J96" s="7">
        <v>6559656</v>
      </c>
      <c r="K96" s="7">
        <v>2428033</v>
      </c>
      <c r="L96" s="8">
        <v>8987689</v>
      </c>
    </row>
    <row r="97" spans="1:12" s="23" customFormat="1" ht="14" x14ac:dyDescent="0.3">
      <c r="A97" s="18">
        <f>ROW(A96)</f>
        <v>96</v>
      </c>
      <c r="B97" s="19" t="s">
        <v>16</v>
      </c>
      <c r="C97" s="20" t="s">
        <v>72</v>
      </c>
      <c r="D97" s="20" t="str">
        <f t="shared" si="3"/>
        <v/>
      </c>
      <c r="E97" s="5">
        <v>45535</v>
      </c>
      <c r="F97" s="20" t="s">
        <v>11</v>
      </c>
      <c r="G97" s="7">
        <v>66537086</v>
      </c>
      <c r="H97" s="7">
        <v>64401326</v>
      </c>
      <c r="I97" s="7">
        <f>OPERATORS[[#This Row],[Total Sales]]-OPERATORS[[#This Row],[Total Payouts]]</f>
        <v>2135760</v>
      </c>
      <c r="J97" s="7">
        <v>0</v>
      </c>
      <c r="K97" s="7">
        <v>948663</v>
      </c>
      <c r="L97" s="8">
        <v>948663</v>
      </c>
    </row>
    <row r="98" spans="1:12" s="23" customFormat="1" ht="14" x14ac:dyDescent="0.3">
      <c r="A98" s="18">
        <v>40</v>
      </c>
      <c r="B98" s="19" t="s">
        <v>3</v>
      </c>
      <c r="C98" s="20" t="s">
        <v>71</v>
      </c>
      <c r="D98" s="20" t="str">
        <f t="shared" si="3"/>
        <v/>
      </c>
      <c r="E98" s="5">
        <v>45535</v>
      </c>
      <c r="F98" s="20" t="s">
        <v>11</v>
      </c>
      <c r="G98" s="7">
        <v>196341500</v>
      </c>
      <c r="H98" s="7">
        <v>49758100</v>
      </c>
      <c r="I98" s="7">
        <f>OPERATORS[[#This Row],[Total Sales]]-OPERATORS[[#This Row],[Total Payouts]]</f>
        <v>146583400</v>
      </c>
      <c r="J98" s="7">
        <v>0</v>
      </c>
      <c r="K98" s="7">
        <v>43975020</v>
      </c>
      <c r="L98" s="8">
        <v>43975020</v>
      </c>
    </row>
    <row r="99" spans="1:12" s="23" customFormat="1" ht="14" x14ac:dyDescent="0.3">
      <c r="A99" s="18">
        <f>ROW(A98)</f>
        <v>98</v>
      </c>
      <c r="B99" s="19" t="s">
        <v>12</v>
      </c>
      <c r="C99" s="20" t="s">
        <v>74</v>
      </c>
      <c r="D99" s="20" t="str">
        <f t="shared" si="3"/>
        <v/>
      </c>
      <c r="E99" s="5">
        <v>45535</v>
      </c>
      <c r="F99" s="20" t="s">
        <v>11</v>
      </c>
      <c r="G99" s="7">
        <v>111633900</v>
      </c>
      <c r="H99" s="7">
        <v>67358000</v>
      </c>
      <c r="I99" s="7">
        <f>OPERATORS[[#This Row],[Total Sales]]-OPERATORS[[#This Row],[Total Payouts]]</f>
        <v>44275900</v>
      </c>
      <c r="J99" s="7">
        <v>10103700</v>
      </c>
      <c r="K99" s="7">
        <v>10064940</v>
      </c>
      <c r="L99" s="8">
        <v>20168640</v>
      </c>
    </row>
    <row r="100" spans="1:12" s="23" customFormat="1" ht="14" x14ac:dyDescent="0.3">
      <c r="A100" s="18">
        <f>ROW(A99)</f>
        <v>99</v>
      </c>
      <c r="B100" s="19" t="s">
        <v>16</v>
      </c>
      <c r="C100" s="20" t="s">
        <v>60</v>
      </c>
      <c r="D100" s="20" t="str">
        <f t="shared" si="3"/>
        <v/>
      </c>
      <c r="E100" s="5">
        <v>45535</v>
      </c>
      <c r="F100" s="20" t="s">
        <v>11</v>
      </c>
      <c r="G100" s="7">
        <v>22059148740</v>
      </c>
      <c r="H100" s="7">
        <v>20837650866</v>
      </c>
      <c r="I100" s="7">
        <f>OPERATORS[[#This Row],[Total Sales]]-OPERATORS[[#This Row],[Total Payouts]]</f>
        <v>1221497874</v>
      </c>
      <c r="J100" s="7">
        <v>0</v>
      </c>
      <c r="K100" s="7">
        <v>366449362</v>
      </c>
      <c r="L100" s="8">
        <v>366449362</v>
      </c>
    </row>
    <row r="101" spans="1:12" s="23" customFormat="1" ht="14" x14ac:dyDescent="0.3">
      <c r="A101" s="18">
        <v>42</v>
      </c>
      <c r="B101" s="19" t="s">
        <v>12</v>
      </c>
      <c r="C101" s="20" t="s">
        <v>60</v>
      </c>
      <c r="D101" s="20" t="str">
        <f t="shared" si="3"/>
        <v/>
      </c>
      <c r="E101" s="5">
        <v>45535</v>
      </c>
      <c r="F101" s="20" t="s">
        <v>11</v>
      </c>
      <c r="G101" s="7">
        <v>6246289767</v>
      </c>
      <c r="H101" s="7">
        <v>4719934108</v>
      </c>
      <c r="I101" s="7">
        <f>OPERATORS[[#This Row],[Total Sales]]-OPERATORS[[#This Row],[Total Payouts]]</f>
        <v>1526355659</v>
      </c>
      <c r="J101" s="7">
        <v>707990116</v>
      </c>
      <c r="K101" s="7">
        <v>329474710</v>
      </c>
      <c r="L101" s="8">
        <v>1037464826</v>
      </c>
    </row>
    <row r="102" spans="1:12" s="23" customFormat="1" ht="14" x14ac:dyDescent="0.3">
      <c r="A102" s="18">
        <v>48</v>
      </c>
      <c r="B102" s="19" t="s">
        <v>16</v>
      </c>
      <c r="C102" s="20" t="s">
        <v>39</v>
      </c>
      <c r="D102" s="20" t="str">
        <f t="shared" si="3"/>
        <v/>
      </c>
      <c r="E102" s="5">
        <v>45535</v>
      </c>
      <c r="F102" s="20" t="s">
        <v>11</v>
      </c>
      <c r="G102" s="7" t="s">
        <v>22</v>
      </c>
      <c r="H102" s="7" t="s">
        <v>19</v>
      </c>
      <c r="I102" s="7">
        <v>0</v>
      </c>
      <c r="J102" s="7">
        <v>0</v>
      </c>
      <c r="K102" s="7" t="s">
        <v>23</v>
      </c>
      <c r="L102" s="8" t="s">
        <v>23</v>
      </c>
    </row>
    <row r="103" spans="1:12" s="23" customFormat="1" ht="14" x14ac:dyDescent="0.3">
      <c r="A103" s="18">
        <f>ROW(A102)</f>
        <v>102</v>
      </c>
      <c r="B103" s="19" t="s">
        <v>3</v>
      </c>
      <c r="C103" s="20" t="s">
        <v>53</v>
      </c>
      <c r="D103" s="20" t="str">
        <f t="shared" si="3"/>
        <v/>
      </c>
      <c r="E103" s="5">
        <v>45535</v>
      </c>
      <c r="F103" s="20" t="s">
        <v>11</v>
      </c>
      <c r="G103" s="7">
        <v>535068000</v>
      </c>
      <c r="H103" s="7">
        <v>441565000</v>
      </c>
      <c r="I103" s="7">
        <f>OPERATORS[[#This Row],[Total Sales]]-OPERATORS[[#This Row],[Total Payouts]]</f>
        <v>93503000</v>
      </c>
      <c r="J103" s="7">
        <v>0</v>
      </c>
      <c r="K103" s="7">
        <v>44410950</v>
      </c>
      <c r="L103" s="8">
        <v>44410950</v>
      </c>
    </row>
    <row r="104" spans="1:12" s="23" customFormat="1" ht="14" x14ac:dyDescent="0.3">
      <c r="A104" s="18">
        <v>58</v>
      </c>
      <c r="B104" s="19" t="s">
        <v>3</v>
      </c>
      <c r="C104" s="20" t="s">
        <v>63</v>
      </c>
      <c r="D104" s="20" t="str">
        <f t="shared" si="3"/>
        <v/>
      </c>
      <c r="E104" s="5">
        <v>45535</v>
      </c>
      <c r="F104" s="20" t="s">
        <v>11</v>
      </c>
      <c r="G104" s="7">
        <v>560632000</v>
      </c>
      <c r="H104" s="7">
        <v>315585000</v>
      </c>
      <c r="I104" s="7">
        <f>OPERATORS[[#This Row],[Total Sales]]-OPERATORS[[#This Row],[Total Payouts]]</f>
        <v>245047000</v>
      </c>
      <c r="J104" s="7">
        <v>0</v>
      </c>
      <c r="K104" s="7">
        <v>83341800</v>
      </c>
      <c r="L104" s="8">
        <v>83341800</v>
      </c>
    </row>
    <row r="105" spans="1:12" s="23" customFormat="1" ht="14" x14ac:dyDescent="0.3">
      <c r="A105" s="18">
        <f>ROW(A104)</f>
        <v>104</v>
      </c>
      <c r="B105" s="19" t="s">
        <v>12</v>
      </c>
      <c r="C105" s="20" t="s">
        <v>68</v>
      </c>
      <c r="D105" s="20" t="str">
        <f t="shared" si="3"/>
        <v/>
      </c>
      <c r="E105" s="5">
        <v>45535</v>
      </c>
      <c r="F105" s="20" t="s">
        <v>11</v>
      </c>
      <c r="G105" s="7">
        <v>125833110</v>
      </c>
      <c r="H105" s="7">
        <v>64163200</v>
      </c>
      <c r="I105" s="7">
        <f>OPERATORS[[#This Row],[Total Sales]]-OPERATORS[[#This Row],[Total Payouts]]</f>
        <v>61669910</v>
      </c>
      <c r="J105" s="7">
        <v>9624480.0000000019</v>
      </c>
      <c r="K105" s="7">
        <v>12838530</v>
      </c>
      <c r="L105" s="8">
        <v>22463010.000000004</v>
      </c>
    </row>
    <row r="106" spans="1:12" s="23" customFormat="1" ht="14" x14ac:dyDescent="0.3">
      <c r="A106" s="18">
        <f>ROW(A105)</f>
        <v>105</v>
      </c>
      <c r="B106" s="19" t="s">
        <v>3</v>
      </c>
      <c r="C106" s="20" t="s">
        <v>51</v>
      </c>
      <c r="D106" s="20" t="str">
        <f t="shared" si="3"/>
        <v/>
      </c>
      <c r="E106" s="5">
        <v>45535</v>
      </c>
      <c r="F106" s="20" t="s">
        <v>11</v>
      </c>
      <c r="G106" s="7">
        <v>630038109</v>
      </c>
      <c r="H106" s="7">
        <v>7208932</v>
      </c>
      <c r="I106" s="7">
        <f>OPERATORS[[#This Row],[Total Sales]]-OPERATORS[[#This Row],[Total Payouts]]</f>
        <v>622829177</v>
      </c>
      <c r="J106" s="7">
        <v>0</v>
      </c>
      <c r="K106" s="7">
        <v>189011433</v>
      </c>
      <c r="L106" s="8">
        <v>189011433</v>
      </c>
    </row>
    <row r="107" spans="1:12" s="23" customFormat="1" ht="14" x14ac:dyDescent="0.3">
      <c r="A107" s="18">
        <f>ROW(A106)</f>
        <v>106</v>
      </c>
      <c r="B107" s="19" t="s">
        <v>3</v>
      </c>
      <c r="C107" s="20" t="s">
        <v>57</v>
      </c>
      <c r="D107" s="20" t="str">
        <f t="shared" si="3"/>
        <v/>
      </c>
      <c r="E107" s="5">
        <v>45535</v>
      </c>
      <c r="F107" s="20" t="s">
        <v>11</v>
      </c>
      <c r="G107" s="7">
        <v>83800000</v>
      </c>
      <c r="H107" s="7">
        <v>39840000</v>
      </c>
      <c r="I107" s="7">
        <f>OPERATORS[[#This Row],[Total Sales]]-OPERATORS[[#This Row],[Total Payouts]]</f>
        <v>43960000</v>
      </c>
      <c r="J107" s="7">
        <v>0</v>
      </c>
      <c r="K107" s="7">
        <v>13188000</v>
      </c>
      <c r="L107" s="8">
        <v>13188000</v>
      </c>
    </row>
    <row r="108" spans="1:12" s="23" customFormat="1" ht="14" x14ac:dyDescent="0.3">
      <c r="A108" s="18">
        <v>64</v>
      </c>
      <c r="B108" s="19" t="s">
        <v>3</v>
      </c>
      <c r="C108" s="20" t="s">
        <v>61</v>
      </c>
      <c r="D108" s="20" t="str">
        <f t="shared" si="3"/>
        <v/>
      </c>
      <c r="E108" s="5">
        <v>45535</v>
      </c>
      <c r="F108" s="20" t="s">
        <v>11</v>
      </c>
      <c r="G108" s="7">
        <v>1413841800</v>
      </c>
      <c r="H108" s="7">
        <v>1290211800</v>
      </c>
      <c r="I108" s="7">
        <f>OPERATORS[[#This Row],[Total Sales]]-OPERATORS[[#This Row],[Total Payouts]]</f>
        <v>123630000</v>
      </c>
      <c r="J108" s="7">
        <v>0</v>
      </c>
      <c r="K108" s="7">
        <v>38377830</v>
      </c>
      <c r="L108" s="8">
        <v>38377830</v>
      </c>
    </row>
    <row r="109" spans="1:12" s="23" customFormat="1" ht="14" x14ac:dyDescent="0.3">
      <c r="A109" s="18">
        <f>ROW(A108)</f>
        <v>108</v>
      </c>
      <c r="B109" s="19" t="s">
        <v>12</v>
      </c>
      <c r="C109" s="20" t="s">
        <v>55</v>
      </c>
      <c r="D109" s="20" t="str">
        <f t="shared" si="3"/>
        <v/>
      </c>
      <c r="E109" s="5">
        <v>45535</v>
      </c>
      <c r="F109" s="20" t="s">
        <v>11</v>
      </c>
      <c r="G109" s="7">
        <v>156332933</v>
      </c>
      <c r="H109" s="7">
        <v>109120002</v>
      </c>
      <c r="I109" s="7">
        <f>OPERATORS[[#This Row],[Total Sales]]-OPERATORS[[#This Row],[Total Payouts]]</f>
        <v>47212931</v>
      </c>
      <c r="J109" s="7">
        <v>16368000.300000001</v>
      </c>
      <c r="K109" s="7">
        <v>9442586.1999999993</v>
      </c>
      <c r="L109" s="8">
        <v>25810586.500000004</v>
      </c>
    </row>
    <row r="110" spans="1:12" s="23" customFormat="1" ht="14" x14ac:dyDescent="0.3">
      <c r="A110" s="18">
        <v>65</v>
      </c>
      <c r="B110" s="19" t="s">
        <v>16</v>
      </c>
      <c r="C110" s="20" t="s">
        <v>46</v>
      </c>
      <c r="D110" s="20" t="str">
        <f t="shared" si="3"/>
        <v/>
      </c>
      <c r="E110" s="5">
        <v>45535</v>
      </c>
      <c r="F110" s="20" t="s">
        <v>11</v>
      </c>
      <c r="G110" s="7">
        <v>1793569660</v>
      </c>
      <c r="H110" s="7">
        <v>1579837188</v>
      </c>
      <c r="I110" s="7">
        <f>OPERATORS[[#This Row],[Total Sales]]-OPERATORS[[#This Row],[Total Payouts]]</f>
        <v>213732472</v>
      </c>
      <c r="J110" s="7">
        <v>0</v>
      </c>
      <c r="K110" s="7">
        <v>64119741.599999994</v>
      </c>
      <c r="L110" s="8">
        <v>64119741.599999994</v>
      </c>
    </row>
    <row r="111" spans="1:12" s="23" customFormat="1" ht="14" x14ac:dyDescent="0.3">
      <c r="A111" s="18">
        <f>ROW(A110)</f>
        <v>110</v>
      </c>
      <c r="B111" s="19" t="s">
        <v>12</v>
      </c>
      <c r="C111" s="20" t="s">
        <v>46</v>
      </c>
      <c r="D111" s="20" t="str">
        <f t="shared" si="3"/>
        <v/>
      </c>
      <c r="E111" s="5">
        <v>45535</v>
      </c>
      <c r="F111" s="20" t="s">
        <v>11</v>
      </c>
      <c r="G111" s="7">
        <v>251411711</v>
      </c>
      <c r="H111" s="7">
        <v>144116864</v>
      </c>
      <c r="I111" s="7">
        <f>OPERATORS[[#This Row],[Total Sales]]-OPERATORS[[#This Row],[Total Payouts]]</f>
        <v>107294847</v>
      </c>
      <c r="J111" s="7">
        <v>21617529.599999998</v>
      </c>
      <c r="K111" s="7">
        <v>26692427.999999996</v>
      </c>
      <c r="L111" s="8">
        <v>48309957.599999994</v>
      </c>
    </row>
    <row r="112" spans="1:12" s="23" customFormat="1" ht="14" x14ac:dyDescent="0.3">
      <c r="A112" s="18">
        <v>66</v>
      </c>
      <c r="B112" s="19" t="s">
        <v>16</v>
      </c>
      <c r="C112" s="20" t="s">
        <v>38</v>
      </c>
      <c r="D112" s="20" t="str">
        <f t="shared" si="3"/>
        <v/>
      </c>
      <c r="E112" s="5">
        <v>45535</v>
      </c>
      <c r="F112" s="20" t="s">
        <v>11</v>
      </c>
      <c r="G112" s="7">
        <v>150517000</v>
      </c>
      <c r="H112" s="7">
        <v>115426125</v>
      </c>
      <c r="I112" s="7">
        <f>OPERATORS[[#This Row],[Total Sales]]-OPERATORS[[#This Row],[Total Payouts]]</f>
        <v>35090875</v>
      </c>
      <c r="J112" s="7">
        <v>0</v>
      </c>
      <c r="K112" s="7">
        <v>10527262.5</v>
      </c>
      <c r="L112" s="8">
        <v>10527262.5</v>
      </c>
    </row>
    <row r="113" spans="1:12" s="23" customFormat="1" ht="14" x14ac:dyDescent="0.3">
      <c r="A113" s="18">
        <f>ROW(A112)</f>
        <v>112</v>
      </c>
      <c r="B113" s="19" t="s">
        <v>3</v>
      </c>
      <c r="C113" s="20" t="s">
        <v>33</v>
      </c>
      <c r="D113" s="20" t="str">
        <f t="shared" si="3"/>
        <v/>
      </c>
      <c r="E113" s="5">
        <v>45535</v>
      </c>
      <c r="F113" s="20" t="s">
        <v>11</v>
      </c>
      <c r="G113" s="7">
        <v>509840000</v>
      </c>
      <c r="H113" s="7">
        <v>473913000</v>
      </c>
      <c r="I113" s="7">
        <f>OPERATORS[[#This Row],[Total Sales]]-OPERATORS[[#This Row],[Total Payouts]]</f>
        <v>35927000</v>
      </c>
      <c r="J113" s="7">
        <v>0</v>
      </c>
      <c r="K113" s="7">
        <v>15555000</v>
      </c>
      <c r="L113" s="8">
        <v>15555000</v>
      </c>
    </row>
    <row r="114" spans="1:12" s="23" customFormat="1" ht="14" x14ac:dyDescent="0.3">
      <c r="A114" s="18">
        <v>67</v>
      </c>
      <c r="B114" s="19" t="s">
        <v>16</v>
      </c>
      <c r="C114" s="20" t="s">
        <v>77</v>
      </c>
      <c r="D114" s="20" t="str">
        <f t="shared" si="3"/>
        <v/>
      </c>
      <c r="E114" s="5">
        <v>45535</v>
      </c>
      <c r="F114" s="20" t="s">
        <v>11</v>
      </c>
      <c r="G114" s="7">
        <v>527853800</v>
      </c>
      <c r="H114" s="7">
        <v>439947320</v>
      </c>
      <c r="I114" s="7">
        <f>OPERATORS[[#This Row],[Total Sales]]-OPERATORS[[#This Row],[Total Payouts]]</f>
        <v>87906480</v>
      </c>
      <c r="J114" s="7">
        <v>0</v>
      </c>
      <c r="K114" s="7">
        <v>26371944</v>
      </c>
      <c r="L114" s="8">
        <v>26371944</v>
      </c>
    </row>
    <row r="115" spans="1:12" s="23" customFormat="1" ht="14" x14ac:dyDescent="0.3">
      <c r="A115" s="18">
        <v>68</v>
      </c>
      <c r="B115" s="19" t="s">
        <v>16</v>
      </c>
      <c r="C115" s="20" t="s">
        <v>45</v>
      </c>
      <c r="D115" s="20" t="str">
        <f t="shared" si="3"/>
        <v/>
      </c>
      <c r="E115" s="5">
        <v>45535</v>
      </c>
      <c r="F115" s="20" t="s">
        <v>11</v>
      </c>
      <c r="G115" s="7">
        <v>4680172834</v>
      </c>
      <c r="H115" s="7">
        <v>3180493568</v>
      </c>
      <c r="I115" s="7">
        <f>OPERATORS[[#This Row],[Total Sales]]-OPERATORS[[#This Row],[Total Payouts]]</f>
        <v>1499679266</v>
      </c>
      <c r="J115" s="7">
        <v>0</v>
      </c>
      <c r="K115" s="7">
        <v>341262508</v>
      </c>
      <c r="L115" s="8">
        <v>341262508</v>
      </c>
    </row>
    <row r="116" spans="1:12" s="23" customFormat="1" ht="14" x14ac:dyDescent="0.3">
      <c r="A116" s="18">
        <f>ROW(A115)</f>
        <v>115</v>
      </c>
      <c r="B116" s="19" t="s">
        <v>12</v>
      </c>
      <c r="C116" s="20" t="s">
        <v>45</v>
      </c>
      <c r="D116" s="20" t="str">
        <f t="shared" si="3"/>
        <v/>
      </c>
      <c r="E116" s="5">
        <v>45535</v>
      </c>
      <c r="F116" s="20" t="s">
        <v>11</v>
      </c>
      <c r="G116" s="7">
        <v>3297098291</v>
      </c>
      <c r="H116" s="7">
        <v>2159556597</v>
      </c>
      <c r="I116" s="7">
        <f>OPERATORS[[#This Row],[Total Sales]]-OPERATORS[[#This Row],[Total Payouts]]</f>
        <v>1137541694</v>
      </c>
      <c r="J116" s="7">
        <v>477074035</v>
      </c>
      <c r="K116" s="7">
        <v>299935853</v>
      </c>
      <c r="L116" s="8">
        <v>777009888</v>
      </c>
    </row>
    <row r="117" spans="1:12" s="23" customFormat="1" ht="14" x14ac:dyDescent="0.3">
      <c r="A117" s="18">
        <f>ROW(A116)</f>
        <v>116</v>
      </c>
      <c r="B117" s="19" t="s">
        <v>12</v>
      </c>
      <c r="C117" s="20" t="s">
        <v>31</v>
      </c>
      <c r="D117" s="20" t="str">
        <f t="shared" si="3"/>
        <v/>
      </c>
      <c r="E117" s="5">
        <v>45535</v>
      </c>
      <c r="F117" s="20" t="s">
        <v>11</v>
      </c>
      <c r="G117" s="7">
        <v>19751859</v>
      </c>
      <c r="H117" s="7">
        <v>13020808</v>
      </c>
      <c r="I117" s="7">
        <f>OPERATORS[[#This Row],[Total Sales]]-OPERATORS[[#This Row],[Total Payouts]]</f>
        <v>6731051</v>
      </c>
      <c r="J117" s="7">
        <v>1953121</v>
      </c>
      <c r="K117" s="7">
        <v>1820363</v>
      </c>
      <c r="L117" s="8">
        <v>3773484</v>
      </c>
    </row>
    <row r="118" spans="1:12" s="23" customFormat="1" ht="14" x14ac:dyDescent="0.3">
      <c r="A118" s="18">
        <v>82</v>
      </c>
      <c r="B118" s="19" t="s">
        <v>12</v>
      </c>
      <c r="C118" s="20" t="s">
        <v>32</v>
      </c>
      <c r="D118" s="20" t="str">
        <f t="shared" si="3"/>
        <v/>
      </c>
      <c r="E118" s="5">
        <v>45535</v>
      </c>
      <c r="F118" s="20" t="s">
        <v>11</v>
      </c>
      <c r="G118" s="7">
        <v>436997602</v>
      </c>
      <c r="H118" s="7">
        <v>329071883</v>
      </c>
      <c r="I118" s="7">
        <f>OPERATORS[[#This Row],[Total Sales]]-OPERATORS[[#This Row],[Total Payouts]]</f>
        <v>107925719</v>
      </c>
      <c r="J118" s="7">
        <v>49360782</v>
      </c>
      <c r="K118" s="7">
        <v>22754441</v>
      </c>
      <c r="L118" s="8">
        <v>72115223</v>
      </c>
    </row>
    <row r="119" spans="1:12" s="23" customFormat="1" ht="14" x14ac:dyDescent="0.3">
      <c r="A119" s="18">
        <f>ROW(A118)</f>
        <v>118</v>
      </c>
      <c r="B119" s="19" t="s">
        <v>3</v>
      </c>
      <c r="C119" s="20" t="s">
        <v>32</v>
      </c>
      <c r="D119" s="20" t="str">
        <f t="shared" si="3"/>
        <v/>
      </c>
      <c r="E119" s="5">
        <v>45535</v>
      </c>
      <c r="F119" s="20" t="s">
        <v>11</v>
      </c>
      <c r="G119" s="7">
        <v>96150267</v>
      </c>
      <c r="H119" s="7">
        <v>58278572</v>
      </c>
      <c r="I119" s="7">
        <f>OPERATORS[[#This Row],[Total Sales]]-OPERATORS[[#This Row],[Total Payouts]]</f>
        <v>37871695</v>
      </c>
      <c r="J119" s="7">
        <v>0</v>
      </c>
      <c r="K119" s="7">
        <v>16080190</v>
      </c>
      <c r="L119" s="8">
        <v>16080190</v>
      </c>
    </row>
    <row r="120" spans="1:12" s="23" customFormat="1" ht="14" x14ac:dyDescent="0.3">
      <c r="A120" s="18">
        <v>87</v>
      </c>
      <c r="B120" s="19" t="s">
        <v>3</v>
      </c>
      <c r="C120" s="20" t="s">
        <v>52</v>
      </c>
      <c r="D120" s="20" t="str">
        <f t="shared" si="3"/>
        <v/>
      </c>
      <c r="E120" s="5">
        <v>45535</v>
      </c>
      <c r="F120" s="20" t="s">
        <v>11</v>
      </c>
      <c r="G120" s="7">
        <v>63480000</v>
      </c>
      <c r="H120" s="7">
        <v>15640000</v>
      </c>
      <c r="I120" s="7">
        <f>OPERATORS[[#This Row],[Total Sales]]-OPERATORS[[#This Row],[Total Payouts]]</f>
        <v>47840000</v>
      </c>
      <c r="J120" s="7">
        <v>0</v>
      </c>
      <c r="K120" s="7">
        <v>14352000</v>
      </c>
      <c r="L120" s="8">
        <v>14352000</v>
      </c>
    </row>
    <row r="121" spans="1:12" s="23" customFormat="1" ht="14" x14ac:dyDescent="0.3">
      <c r="A121" s="18">
        <f>ROW(A120)</f>
        <v>120</v>
      </c>
      <c r="B121" s="19" t="s">
        <v>16</v>
      </c>
      <c r="C121" s="20" t="s">
        <v>59</v>
      </c>
      <c r="D121" s="20" t="str">
        <f t="shared" si="3"/>
        <v/>
      </c>
      <c r="E121" s="5">
        <v>45535</v>
      </c>
      <c r="F121" s="20" t="s">
        <v>11</v>
      </c>
      <c r="G121" s="7">
        <v>42846800</v>
      </c>
      <c r="H121" s="7">
        <v>35135667</v>
      </c>
      <c r="I121" s="7">
        <f>OPERATORS[[#This Row],[Total Sales]]-OPERATORS[[#This Row],[Total Payouts]]</f>
        <v>7711133</v>
      </c>
      <c r="J121" s="7">
        <v>0</v>
      </c>
      <c r="K121" s="7">
        <v>2313340</v>
      </c>
      <c r="L121" s="8">
        <v>2313340</v>
      </c>
    </row>
    <row r="122" spans="1:12" s="23" customFormat="1" ht="14" x14ac:dyDescent="0.3">
      <c r="A122" s="18">
        <v>98</v>
      </c>
      <c r="B122" s="19" t="s">
        <v>16</v>
      </c>
      <c r="C122" s="20" t="s">
        <v>27</v>
      </c>
      <c r="D122" s="20" t="str">
        <f t="shared" si="3"/>
        <v/>
      </c>
      <c r="E122" s="5">
        <v>45535</v>
      </c>
      <c r="F122" s="20" t="s">
        <v>11</v>
      </c>
      <c r="G122" s="7">
        <v>38806728</v>
      </c>
      <c r="H122" s="7">
        <v>19925427</v>
      </c>
      <c r="I122" s="7">
        <f>OPERATORS[[#This Row],[Total Sales]]-OPERATORS[[#This Row],[Total Payouts]]</f>
        <v>18881301</v>
      </c>
      <c r="J122" s="7">
        <v>0</v>
      </c>
      <c r="K122" s="7">
        <v>5664390</v>
      </c>
      <c r="L122" s="8">
        <v>5664390</v>
      </c>
    </row>
    <row r="123" spans="1:12" s="23" customFormat="1" ht="14" x14ac:dyDescent="0.3">
      <c r="A123" s="18">
        <f>ROW(A122)</f>
        <v>122</v>
      </c>
      <c r="B123" s="19" t="s">
        <v>12</v>
      </c>
      <c r="C123" s="20" t="s">
        <v>27</v>
      </c>
      <c r="D123" s="20" t="str">
        <f t="shared" ref="D123:D125" si="4">IFERROR(VLOOKUP(C123,OPerators_Range,2,FALSE),"")</f>
        <v/>
      </c>
      <c r="E123" s="5">
        <v>45535</v>
      </c>
      <c r="F123" s="20" t="s">
        <v>11</v>
      </c>
      <c r="G123" s="7" t="s">
        <v>22</v>
      </c>
      <c r="H123" s="7" t="s">
        <v>19</v>
      </c>
      <c r="I123" s="7">
        <v>0</v>
      </c>
      <c r="J123" s="7">
        <v>0</v>
      </c>
      <c r="K123" s="7" t="s">
        <v>23</v>
      </c>
      <c r="L123" s="8" t="s">
        <v>23</v>
      </c>
    </row>
    <row r="124" spans="1:12" s="23" customFormat="1" ht="14" x14ac:dyDescent="0.3">
      <c r="A124" s="18">
        <f>ROW(A123)</f>
        <v>123</v>
      </c>
      <c r="B124" s="19" t="s">
        <v>3</v>
      </c>
      <c r="C124" s="20" t="s">
        <v>28</v>
      </c>
      <c r="D124" s="20" t="str">
        <f t="shared" si="4"/>
        <v/>
      </c>
      <c r="E124" s="5">
        <v>45535</v>
      </c>
      <c r="F124" s="20" t="s">
        <v>11</v>
      </c>
      <c r="G124" s="7">
        <v>2292715616</v>
      </c>
      <c r="H124" s="7">
        <v>2055711672</v>
      </c>
      <c r="I124" s="7">
        <f>OPERATORS[[#This Row],[Total Sales]]-OPERATORS[[#This Row],[Total Payouts]]</f>
        <v>237003944</v>
      </c>
      <c r="J124" s="7">
        <v>0</v>
      </c>
      <c r="K124" s="7">
        <v>85460629</v>
      </c>
      <c r="L124" s="8">
        <v>85460629</v>
      </c>
    </row>
    <row r="125" spans="1:12" s="23" customFormat="1" ht="14" x14ac:dyDescent="0.3">
      <c r="A125" s="18">
        <v>107</v>
      </c>
      <c r="B125" s="19" t="s">
        <v>17</v>
      </c>
      <c r="C125" s="20" t="s">
        <v>34</v>
      </c>
      <c r="D125" s="20" t="str">
        <f t="shared" si="4"/>
        <v/>
      </c>
      <c r="E125" s="5">
        <v>45535</v>
      </c>
      <c r="F125" s="20" t="s">
        <v>11</v>
      </c>
      <c r="G125" s="7">
        <v>307286000</v>
      </c>
      <c r="H125" s="7">
        <v>274500000</v>
      </c>
      <c r="I125" s="7">
        <f>OPERATORS[[#This Row],[Total Sales]]-OPERATORS[[#This Row],[Total Payouts]]</f>
        <v>32786000</v>
      </c>
      <c r="J125" s="7">
        <v>0</v>
      </c>
      <c r="K125" s="7">
        <v>9835800</v>
      </c>
      <c r="L125" s="8">
        <v>9835800</v>
      </c>
    </row>
    <row r="126" spans="1:12" s="23" customFormat="1" ht="14" x14ac:dyDescent="0.3">
      <c r="A126" s="18">
        <v>134</v>
      </c>
      <c r="B126" s="19" t="s">
        <v>3</v>
      </c>
      <c r="C126" s="20" t="s">
        <v>56</v>
      </c>
      <c r="D126" s="20">
        <v>1000035508</v>
      </c>
      <c r="E126" s="5">
        <v>45535</v>
      </c>
      <c r="F126" s="20" t="s">
        <v>11</v>
      </c>
      <c r="G126" s="7">
        <v>308856611</v>
      </c>
      <c r="H126" s="7">
        <v>0</v>
      </c>
      <c r="I126" s="7">
        <f>OPERATORS[[#This Row],[Total Sales]]-OPERATORS[[#This Row],[Total Payouts]]</f>
        <v>308856611</v>
      </c>
      <c r="J126" s="7">
        <v>0</v>
      </c>
      <c r="K126" s="7">
        <v>105670212</v>
      </c>
      <c r="L126" s="8">
        <v>105670212</v>
      </c>
    </row>
    <row r="127" spans="1:12" s="23" customFormat="1" ht="14" x14ac:dyDescent="0.3">
      <c r="A127" s="18">
        <v>157</v>
      </c>
      <c r="B127" s="19" t="s">
        <v>16</v>
      </c>
      <c r="C127" s="20" t="s">
        <v>63</v>
      </c>
      <c r="D127" s="20" t="str">
        <f t="shared" ref="D127:D137" si="5">IFERROR(VLOOKUP(C127,OPerators_Range,2,FALSE),"")</f>
        <v/>
      </c>
      <c r="E127" s="5">
        <v>45535</v>
      </c>
      <c r="F127" s="20" t="s">
        <v>11</v>
      </c>
      <c r="G127" s="7">
        <v>140977000</v>
      </c>
      <c r="H127" s="7">
        <v>135340000</v>
      </c>
      <c r="I127" s="7">
        <f>OPERATORS[[#This Row],[Total Sales]]-OPERATORS[[#This Row],[Total Payouts]]</f>
        <v>5637000</v>
      </c>
      <c r="J127" s="7">
        <v>0</v>
      </c>
      <c r="K127" s="7">
        <v>1691100</v>
      </c>
      <c r="L127" s="8">
        <v>1691100</v>
      </c>
    </row>
    <row r="128" spans="1:12" s="23" customFormat="1" ht="14" x14ac:dyDescent="0.3">
      <c r="A128" s="18">
        <f>ROW(A127)</f>
        <v>127</v>
      </c>
      <c r="B128" s="19" t="s">
        <v>12</v>
      </c>
      <c r="C128" s="20" t="s">
        <v>29</v>
      </c>
      <c r="D128" s="20" t="str">
        <f t="shared" si="5"/>
        <v/>
      </c>
      <c r="E128" s="5">
        <v>45535</v>
      </c>
      <c r="F128" s="20" t="s">
        <v>11</v>
      </c>
      <c r="G128" s="7">
        <v>894705640</v>
      </c>
      <c r="H128" s="7">
        <v>699369523</v>
      </c>
      <c r="I128" s="7">
        <f>OPERATORS[[#This Row],[Total Sales]]-OPERATORS[[#This Row],[Total Payouts]]</f>
        <v>195336117</v>
      </c>
      <c r="J128" s="7">
        <v>104905428</v>
      </c>
      <c r="K128" s="7">
        <v>41422686</v>
      </c>
      <c r="L128" s="8">
        <v>146328114</v>
      </c>
    </row>
    <row r="129" spans="1:14" s="23" customFormat="1" ht="14" x14ac:dyDescent="0.3">
      <c r="A129" s="18">
        <v>268</v>
      </c>
      <c r="B129" s="19" t="s">
        <v>3</v>
      </c>
      <c r="C129" s="20" t="s">
        <v>54</v>
      </c>
      <c r="D129" s="20" t="str">
        <f t="shared" si="5"/>
        <v/>
      </c>
      <c r="E129" s="5">
        <v>45535</v>
      </c>
      <c r="F129" s="20" t="s">
        <v>11</v>
      </c>
      <c r="G129" s="7">
        <v>123999540</v>
      </c>
      <c r="H129" s="7">
        <v>63836200</v>
      </c>
      <c r="I129" s="7">
        <v>60163340</v>
      </c>
      <c r="J129" s="7"/>
      <c r="K129" s="7">
        <v>18049002</v>
      </c>
      <c r="L129" s="8">
        <f>OPERATORS[[#This Row],[Withholding Tax]]+OPERATORS[[#This Row],[Gaming Tax]]</f>
        <v>18049002</v>
      </c>
    </row>
    <row r="130" spans="1:14" s="23" customFormat="1" ht="14" x14ac:dyDescent="0.3">
      <c r="A130" s="18">
        <v>302</v>
      </c>
      <c r="B130" s="3" t="s">
        <v>12</v>
      </c>
      <c r="C130" s="6" t="s">
        <v>54</v>
      </c>
      <c r="D130" s="35" t="str">
        <f t="shared" si="5"/>
        <v/>
      </c>
      <c r="E130" s="5">
        <v>45535</v>
      </c>
      <c r="F130" s="6" t="s">
        <v>11</v>
      </c>
      <c r="G130" s="7">
        <v>85600000</v>
      </c>
      <c r="H130" s="7">
        <v>31305000</v>
      </c>
      <c r="I130" s="7">
        <f>OPERATORS[[#This Row],[Total Sales]]-OPERATORS[[#This Row],[Total Payouts]]</f>
        <v>54295000</v>
      </c>
      <c r="J130" s="7">
        <v>4695750</v>
      </c>
      <c r="K130" s="7">
        <v>10859000</v>
      </c>
      <c r="L130" s="8">
        <f>OPERATORS[[#This Row],[Withholding Tax]]+OPERATORS[[#This Row],[Gaming Tax]]</f>
        <v>15554750</v>
      </c>
    </row>
    <row r="131" spans="1:14" s="23" customFormat="1" ht="14" x14ac:dyDescent="0.3">
      <c r="A131" s="18">
        <f>ROW(A130)</f>
        <v>130</v>
      </c>
      <c r="B131" s="3" t="s">
        <v>12</v>
      </c>
      <c r="C131" s="6" t="s">
        <v>35</v>
      </c>
      <c r="D131" s="35" t="str">
        <f t="shared" si="5"/>
        <v/>
      </c>
      <c r="E131" s="5">
        <v>45535</v>
      </c>
      <c r="F131" s="6" t="s">
        <v>11</v>
      </c>
      <c r="G131" s="7">
        <v>2140603000</v>
      </c>
      <c r="H131" s="7">
        <v>2090233000</v>
      </c>
      <c r="I131" s="7">
        <f>OPERATORS[[#This Row],[Total Sales]]-OPERATORS[[#This Row],[Total Payouts]]</f>
        <v>50370000</v>
      </c>
      <c r="J131" s="7">
        <v>313534950</v>
      </c>
      <c r="K131" s="7">
        <v>15878400</v>
      </c>
      <c r="L131" s="8">
        <f>OPERATORS[[#This Row],[Withholding Tax]]+OPERATORS[[#This Row],[Gaming Tax]]</f>
        <v>329413350</v>
      </c>
    </row>
    <row r="132" spans="1:14" s="23" customFormat="1" ht="14" x14ac:dyDescent="0.3">
      <c r="A132" s="18">
        <v>328</v>
      </c>
      <c r="B132" s="3" t="s">
        <v>16</v>
      </c>
      <c r="C132" s="6" t="s">
        <v>35</v>
      </c>
      <c r="D132" s="35" t="str">
        <f t="shared" si="5"/>
        <v/>
      </c>
      <c r="E132" s="5">
        <v>45535</v>
      </c>
      <c r="F132" s="6" t="s">
        <v>11</v>
      </c>
      <c r="G132" s="7">
        <v>850203160</v>
      </c>
      <c r="H132" s="7">
        <v>816478260</v>
      </c>
      <c r="I132" s="7">
        <f>OPERATORS[[#This Row],[Total Sales]]-OPERATORS[[#This Row],[Total Payouts]]</f>
        <v>33724900</v>
      </c>
      <c r="J132" s="7"/>
      <c r="K132" s="7">
        <v>10321137</v>
      </c>
      <c r="L132" s="8">
        <f>OPERATORS[[#This Row],[Withholding Tax]]+OPERATORS[[#This Row],[Gaming Tax]]</f>
        <v>10321137</v>
      </c>
    </row>
    <row r="133" spans="1:14" s="23" customFormat="1" ht="14" x14ac:dyDescent="0.3">
      <c r="A133" s="18">
        <f>ROW(A132)</f>
        <v>132</v>
      </c>
      <c r="B133" s="3" t="s">
        <v>12</v>
      </c>
      <c r="C133" s="6" t="s">
        <v>58</v>
      </c>
      <c r="D133" s="35" t="str">
        <f t="shared" si="5"/>
        <v/>
      </c>
      <c r="E133" s="5">
        <v>45535</v>
      </c>
      <c r="F133" s="6" t="s">
        <v>11</v>
      </c>
      <c r="G133" s="7">
        <v>6462079245</v>
      </c>
      <c r="H133" s="7">
        <v>6147700233</v>
      </c>
      <c r="I133" s="7">
        <f>OPERATORS[[#This Row],[Total Sales]]-OPERATORS[[#This Row],[Total Payouts]]</f>
        <v>314379012</v>
      </c>
      <c r="J133" s="7">
        <v>922155035</v>
      </c>
      <c r="K133" s="7">
        <v>65585589</v>
      </c>
      <c r="L133" s="8">
        <v>987740624</v>
      </c>
    </row>
    <row r="134" spans="1:14" s="23" customFormat="1" ht="14" x14ac:dyDescent="0.3">
      <c r="A134" s="18">
        <v>331</v>
      </c>
      <c r="B134" s="3" t="s">
        <v>16</v>
      </c>
      <c r="C134" s="6" t="s">
        <v>58</v>
      </c>
      <c r="D134" s="35" t="str">
        <f t="shared" si="5"/>
        <v/>
      </c>
      <c r="E134" s="5">
        <v>45535</v>
      </c>
      <c r="F134" s="6" t="s">
        <v>11</v>
      </c>
      <c r="G134" s="7">
        <v>4075997030</v>
      </c>
      <c r="H134" s="7">
        <v>3885113020</v>
      </c>
      <c r="I134" s="7">
        <f>OPERATORS[[#This Row],[Total Sales]]-OPERATORS[[#This Row],[Total Payouts]]</f>
        <v>190884010</v>
      </c>
      <c r="J134" s="7">
        <v>0</v>
      </c>
      <c r="K134" s="7">
        <v>57265203</v>
      </c>
      <c r="L134" s="8">
        <v>57265203</v>
      </c>
    </row>
    <row r="135" spans="1:14" s="23" customFormat="1" ht="14" x14ac:dyDescent="0.3">
      <c r="A135" s="18">
        <v>336</v>
      </c>
      <c r="B135" s="3" t="s">
        <v>17</v>
      </c>
      <c r="C135" s="20" t="s">
        <v>62</v>
      </c>
      <c r="D135" s="35" t="str">
        <f t="shared" si="5"/>
        <v/>
      </c>
      <c r="E135" s="5">
        <v>45535</v>
      </c>
      <c r="F135" s="6" t="s">
        <v>11</v>
      </c>
      <c r="G135" s="7">
        <v>228464000</v>
      </c>
      <c r="H135" s="7">
        <v>156870587</v>
      </c>
      <c r="I135" s="7">
        <v>71593413</v>
      </c>
      <c r="J135" s="7">
        <v>0</v>
      </c>
      <c r="K135" s="7">
        <v>23892706</v>
      </c>
      <c r="L135" s="8">
        <v>23892706</v>
      </c>
    </row>
    <row r="136" spans="1:14" s="23" customFormat="1" ht="14" x14ac:dyDescent="0.3">
      <c r="A136" s="18">
        <v>41</v>
      </c>
      <c r="B136" s="19" t="s">
        <v>3</v>
      </c>
      <c r="C136" s="20" t="s">
        <v>76</v>
      </c>
      <c r="D136" s="20" t="str">
        <f t="shared" si="5"/>
        <v/>
      </c>
      <c r="E136" s="5">
        <v>45565</v>
      </c>
      <c r="F136" s="20" t="s">
        <v>11</v>
      </c>
      <c r="G136" s="7">
        <v>4784000</v>
      </c>
      <c r="H136" s="7">
        <v>0</v>
      </c>
      <c r="I136" s="7">
        <f>OPERATORS[[#This Row],[Total Sales]]-OPERATORS[[#This Row],[Total Payouts]]</f>
        <v>4784000</v>
      </c>
      <c r="J136" s="7">
        <v>0</v>
      </c>
      <c r="K136" s="7">
        <v>1435200</v>
      </c>
      <c r="L136" s="7">
        <v>1435200</v>
      </c>
    </row>
    <row r="137" spans="1:14" s="23" customFormat="1" ht="14" x14ac:dyDescent="0.3">
      <c r="A137" s="18">
        <f>ROW(A136)</f>
        <v>136</v>
      </c>
      <c r="B137" s="19" t="s">
        <v>12</v>
      </c>
      <c r="C137" s="20" t="s">
        <v>78</v>
      </c>
      <c r="D137" s="20" t="str">
        <f t="shared" si="5"/>
        <v/>
      </c>
      <c r="E137" s="5">
        <v>45565</v>
      </c>
      <c r="F137" s="20" t="s">
        <v>11</v>
      </c>
      <c r="G137" s="7">
        <v>197590922</v>
      </c>
      <c r="H137" s="7">
        <v>166715917</v>
      </c>
      <c r="I137" s="7">
        <f>OPERATORS[[#This Row],[Total Sales]]-OPERATORS[[#This Row],[Total Payouts]]</f>
        <v>30875005</v>
      </c>
      <c r="J137" s="7">
        <v>25007388</v>
      </c>
      <c r="K137" s="7">
        <v>6866079</v>
      </c>
      <c r="L137" s="8">
        <v>31873467</v>
      </c>
    </row>
    <row r="138" spans="1:14" s="23" customFormat="1" ht="14" x14ac:dyDescent="0.3">
      <c r="A138" s="18">
        <v>43</v>
      </c>
      <c r="B138" s="19" t="s">
        <v>3</v>
      </c>
      <c r="C138" s="20" t="s">
        <v>56</v>
      </c>
      <c r="D138" s="20">
        <v>1000035508</v>
      </c>
      <c r="E138" s="5">
        <v>45565</v>
      </c>
      <c r="F138" s="20" t="s">
        <v>11</v>
      </c>
      <c r="G138" s="7">
        <v>257992559</v>
      </c>
      <c r="H138" s="7">
        <v>0</v>
      </c>
      <c r="I138" s="7">
        <f>OPERATORS[[#This Row],[Total Sales]]-OPERATORS[[#This Row],[Total Payouts]]</f>
        <v>257992559</v>
      </c>
      <c r="J138" s="7">
        <v>0</v>
      </c>
      <c r="K138" s="7">
        <v>92120711</v>
      </c>
      <c r="L138" s="8">
        <v>92120711</v>
      </c>
    </row>
    <row r="139" spans="1:14" s="23" customFormat="1" ht="14" x14ac:dyDescent="0.3">
      <c r="A139" s="18">
        <f>ROW(A138)</f>
        <v>138</v>
      </c>
      <c r="B139" s="19" t="s">
        <v>12</v>
      </c>
      <c r="C139" s="20" t="s">
        <v>37</v>
      </c>
      <c r="D139" s="20" t="str">
        <f t="shared" ref="D139:D170" si="6">IFERROR(VLOOKUP(C139,OPerators_Range,2,FALSE),"")</f>
        <v/>
      </c>
      <c r="E139" s="5">
        <v>45565</v>
      </c>
      <c r="F139" s="20" t="s">
        <v>11</v>
      </c>
      <c r="G139" s="7">
        <v>1214934486</v>
      </c>
      <c r="H139" s="7">
        <v>1084441845</v>
      </c>
      <c r="I139" s="7">
        <f>OPERATORS[[#This Row],[Total Sales]]-OPERATORS[[#This Row],[Total Payouts]]</f>
        <v>130492641</v>
      </c>
      <c r="J139" s="7">
        <v>162666277</v>
      </c>
      <c r="K139" s="7">
        <v>58813699</v>
      </c>
      <c r="L139" s="8">
        <v>221479976</v>
      </c>
    </row>
    <row r="140" spans="1:14" s="23" customFormat="1" ht="14" x14ac:dyDescent="0.3">
      <c r="A140" s="18">
        <v>44</v>
      </c>
      <c r="B140" s="19" t="s">
        <v>3</v>
      </c>
      <c r="C140" s="20" t="s">
        <v>48</v>
      </c>
      <c r="D140" s="20" t="str">
        <f t="shared" si="6"/>
        <v/>
      </c>
      <c r="E140" s="5">
        <v>45565</v>
      </c>
      <c r="F140" s="20" t="s">
        <v>11</v>
      </c>
      <c r="G140" s="7">
        <v>1033366000</v>
      </c>
      <c r="H140" s="7">
        <v>47946000</v>
      </c>
      <c r="I140" s="7">
        <f>OPERATORS[[#This Row],[Total Sales]]-OPERATORS[[#This Row],[Total Payouts]]</f>
        <v>985420000</v>
      </c>
      <c r="J140" s="7">
        <v>0</v>
      </c>
      <c r="K140" s="7">
        <v>310009800</v>
      </c>
      <c r="L140" s="8">
        <v>310009800</v>
      </c>
    </row>
    <row r="141" spans="1:14" s="23" customFormat="1" ht="14" x14ac:dyDescent="0.3">
      <c r="A141" s="18">
        <f>ROW(A140)</f>
        <v>140</v>
      </c>
      <c r="B141" s="19" t="s">
        <v>3</v>
      </c>
      <c r="C141" s="20" t="s">
        <v>51</v>
      </c>
      <c r="D141" s="20" t="str">
        <f t="shared" si="6"/>
        <v/>
      </c>
      <c r="E141" s="5">
        <v>45565</v>
      </c>
      <c r="F141" s="20" t="s">
        <v>11</v>
      </c>
      <c r="G141" s="7">
        <v>639759970</v>
      </c>
      <c r="H141" s="7">
        <v>91256208</v>
      </c>
      <c r="I141" s="7">
        <f>OPERATORS[[#This Row],[Total Sales]]-OPERATORS[[#This Row],[Total Payouts]]</f>
        <v>548503762</v>
      </c>
      <c r="J141" s="7">
        <v>0</v>
      </c>
      <c r="K141" s="7">
        <v>191927991</v>
      </c>
      <c r="L141" s="8">
        <v>191927991</v>
      </c>
      <c r="N141" s="23" t="s">
        <v>24</v>
      </c>
    </row>
    <row r="142" spans="1:14" s="23" customFormat="1" ht="14" x14ac:dyDescent="0.3">
      <c r="A142" s="18">
        <v>45</v>
      </c>
      <c r="B142" s="19" t="s">
        <v>17</v>
      </c>
      <c r="C142" s="20" t="s">
        <v>62</v>
      </c>
      <c r="D142" s="20" t="str">
        <f t="shared" si="6"/>
        <v/>
      </c>
      <c r="E142" s="5">
        <v>45565</v>
      </c>
      <c r="F142" s="20" t="s">
        <v>11</v>
      </c>
      <c r="G142" s="7">
        <v>260816000</v>
      </c>
      <c r="H142" s="7">
        <v>152011763</v>
      </c>
      <c r="I142" s="7">
        <f>OPERATORS[[#This Row],[Total Sales]]-OPERATORS[[#This Row],[Total Payouts]]</f>
        <v>108804237</v>
      </c>
      <c r="J142" s="7">
        <v>0</v>
      </c>
      <c r="K142" s="7">
        <v>32641271</v>
      </c>
      <c r="L142" s="8">
        <v>32641271</v>
      </c>
    </row>
    <row r="143" spans="1:14" s="23" customFormat="1" ht="14" x14ac:dyDescent="0.3">
      <c r="A143" s="18">
        <f>ROW(A142)</f>
        <v>142</v>
      </c>
      <c r="B143" s="19" t="s">
        <v>16</v>
      </c>
      <c r="C143" s="20" t="s">
        <v>47</v>
      </c>
      <c r="D143" s="20" t="str">
        <f t="shared" si="6"/>
        <v/>
      </c>
      <c r="E143" s="5">
        <v>45565</v>
      </c>
      <c r="F143" s="20" t="s">
        <v>11</v>
      </c>
      <c r="G143" s="7">
        <v>118648200</v>
      </c>
      <c r="H143" s="7">
        <v>59174820</v>
      </c>
      <c r="I143" s="7">
        <f>OPERATORS[[#This Row],[Total Sales]]-OPERATORS[[#This Row],[Total Payouts]]</f>
        <v>59473380</v>
      </c>
      <c r="J143" s="7">
        <v>0</v>
      </c>
      <c r="K143" s="7">
        <v>17842014</v>
      </c>
      <c r="L143" s="8">
        <v>17842014</v>
      </c>
    </row>
    <row r="144" spans="1:14" s="23" customFormat="1" ht="14" x14ac:dyDescent="0.3">
      <c r="A144" s="18">
        <v>46</v>
      </c>
      <c r="B144" s="19" t="s">
        <v>12</v>
      </c>
      <c r="C144" s="20" t="s">
        <v>75</v>
      </c>
      <c r="D144" s="20" t="str">
        <f t="shared" si="6"/>
        <v/>
      </c>
      <c r="E144" s="5">
        <v>45565</v>
      </c>
      <c r="F144" s="20" t="s">
        <v>11</v>
      </c>
      <c r="G144" s="7" t="s">
        <v>22</v>
      </c>
      <c r="H144" s="7" t="s">
        <v>19</v>
      </c>
      <c r="I144" s="7">
        <v>0</v>
      </c>
      <c r="J144" s="7" t="s">
        <v>23</v>
      </c>
      <c r="K144" s="7" t="s">
        <v>23</v>
      </c>
      <c r="L144" s="8" t="s">
        <v>23</v>
      </c>
    </row>
    <row r="145" spans="1:13" s="23" customFormat="1" ht="14" x14ac:dyDescent="0.3">
      <c r="A145" s="18">
        <f>ROW(A144)</f>
        <v>144</v>
      </c>
      <c r="B145" s="19" t="s">
        <v>12</v>
      </c>
      <c r="C145" s="20" t="s">
        <v>50</v>
      </c>
      <c r="D145" s="20" t="str">
        <f t="shared" si="6"/>
        <v/>
      </c>
      <c r="E145" s="5">
        <v>45565</v>
      </c>
      <c r="F145" s="20" t="s">
        <v>11</v>
      </c>
      <c r="G145" s="7">
        <v>26201604</v>
      </c>
      <c r="H145" s="7">
        <v>5876313</v>
      </c>
      <c r="I145" s="7">
        <f>OPERATORS[[#This Row],[Total Sales]]-OPERATORS[[#This Row],[Total Payouts]]</f>
        <v>20325291</v>
      </c>
      <c r="J145" s="7">
        <v>881447</v>
      </c>
      <c r="K145" s="7">
        <v>4065058</v>
      </c>
      <c r="L145" s="8">
        <v>4946505</v>
      </c>
    </row>
    <row r="146" spans="1:13" s="23" customFormat="1" ht="14" x14ac:dyDescent="0.3">
      <c r="A146" s="18">
        <v>47</v>
      </c>
      <c r="B146" s="19" t="s">
        <v>12</v>
      </c>
      <c r="C146" s="20" t="s">
        <v>61</v>
      </c>
      <c r="D146" s="20" t="str">
        <f t="shared" si="6"/>
        <v/>
      </c>
      <c r="E146" s="5">
        <v>45565</v>
      </c>
      <c r="F146" s="20" t="s">
        <v>11</v>
      </c>
      <c r="G146" s="7">
        <v>946078400</v>
      </c>
      <c r="H146" s="7">
        <v>495047800</v>
      </c>
      <c r="I146" s="7">
        <f>OPERATORS[[#This Row],[Total Sales]]-OPERATORS[[#This Row],[Total Payouts]]</f>
        <v>451030600</v>
      </c>
      <c r="J146" s="7">
        <v>74257170</v>
      </c>
      <c r="K146" s="7">
        <v>90206120</v>
      </c>
      <c r="L146" s="8">
        <v>164463290</v>
      </c>
    </row>
    <row r="147" spans="1:13" s="23" customFormat="1" ht="14" x14ac:dyDescent="0.3">
      <c r="A147" s="18">
        <f>ROW(A146)</f>
        <v>146</v>
      </c>
      <c r="B147" s="19" t="s">
        <v>16</v>
      </c>
      <c r="C147" s="20" t="s">
        <v>61</v>
      </c>
      <c r="D147" s="20" t="str">
        <f t="shared" si="6"/>
        <v/>
      </c>
      <c r="E147" s="5">
        <v>45565</v>
      </c>
      <c r="F147" s="20" t="s">
        <v>11</v>
      </c>
      <c r="G147" s="7">
        <v>615287000</v>
      </c>
      <c r="H147" s="7">
        <v>506844000</v>
      </c>
      <c r="I147" s="7">
        <f>OPERATORS[[#This Row],[Total Sales]]-OPERATORS[[#This Row],[Total Payouts]]</f>
        <v>108443000</v>
      </c>
      <c r="J147" s="7">
        <v>0</v>
      </c>
      <c r="K147" s="7">
        <v>32532900</v>
      </c>
      <c r="L147" s="8">
        <v>32532900</v>
      </c>
    </row>
    <row r="148" spans="1:13" s="23" customFormat="1" ht="14" x14ac:dyDescent="0.3">
      <c r="A148" s="18">
        <f>ROW(A147)</f>
        <v>147</v>
      </c>
      <c r="B148" s="19" t="s">
        <v>16</v>
      </c>
      <c r="C148" s="20" t="s">
        <v>39</v>
      </c>
      <c r="D148" s="20" t="str">
        <f t="shared" si="6"/>
        <v/>
      </c>
      <c r="E148" s="5">
        <v>45565</v>
      </c>
      <c r="F148" s="20" t="s">
        <v>11</v>
      </c>
      <c r="G148" s="7" t="s">
        <v>22</v>
      </c>
      <c r="H148" s="7" t="s">
        <v>19</v>
      </c>
      <c r="I148" s="7">
        <v>0</v>
      </c>
      <c r="J148" s="7">
        <v>0</v>
      </c>
      <c r="K148" s="7" t="s">
        <v>23</v>
      </c>
      <c r="L148" s="8" t="s">
        <v>23</v>
      </c>
      <c r="M148" s="26"/>
    </row>
    <row r="149" spans="1:13" s="23" customFormat="1" ht="14" x14ac:dyDescent="0.3">
      <c r="A149" s="18">
        <v>49</v>
      </c>
      <c r="B149" s="19" t="s">
        <v>12</v>
      </c>
      <c r="C149" s="20" t="s">
        <v>64</v>
      </c>
      <c r="D149" s="20" t="str">
        <f t="shared" si="6"/>
        <v/>
      </c>
      <c r="E149" s="5">
        <v>45565</v>
      </c>
      <c r="F149" s="20" t="s">
        <v>11</v>
      </c>
      <c r="G149" s="7">
        <v>302976808</v>
      </c>
      <c r="H149" s="7">
        <v>174812889</v>
      </c>
      <c r="I149" s="7">
        <f>OPERATORS[[#This Row],[Total Sales]]-OPERATORS[[#This Row],[Total Payouts]]</f>
        <v>128163919</v>
      </c>
      <c r="J149" s="7">
        <v>26221933</v>
      </c>
      <c r="K149" s="7">
        <v>25632784</v>
      </c>
      <c r="L149" s="8">
        <v>51854717</v>
      </c>
      <c r="M149" s="26"/>
    </row>
    <row r="150" spans="1:13" s="23" customFormat="1" ht="14" x14ac:dyDescent="0.3">
      <c r="A150" s="18">
        <f>ROW(A149)</f>
        <v>149</v>
      </c>
      <c r="B150" s="19" t="s">
        <v>3</v>
      </c>
      <c r="C150" s="20" t="s">
        <v>64</v>
      </c>
      <c r="D150" s="20" t="str">
        <f t="shared" si="6"/>
        <v/>
      </c>
      <c r="E150" s="5">
        <v>45565</v>
      </c>
      <c r="F150" s="20" t="s">
        <v>11</v>
      </c>
      <c r="G150" s="7">
        <v>422733176</v>
      </c>
      <c r="H150" s="7">
        <v>278552265</v>
      </c>
      <c r="I150" s="7">
        <f>OPERATORS[[#This Row],[Total Sales]]-OPERATORS[[#This Row],[Total Payouts]]</f>
        <v>144180911</v>
      </c>
      <c r="J150" s="7">
        <v>0</v>
      </c>
      <c r="K150" s="7">
        <v>43254273</v>
      </c>
      <c r="L150" s="8">
        <v>43254273</v>
      </c>
    </row>
    <row r="151" spans="1:13" s="23" customFormat="1" ht="14" x14ac:dyDescent="0.3">
      <c r="A151" s="18">
        <v>50</v>
      </c>
      <c r="B151" s="19" t="s">
        <v>17</v>
      </c>
      <c r="C151" s="20" t="s">
        <v>34</v>
      </c>
      <c r="D151" s="20" t="str">
        <f t="shared" si="6"/>
        <v/>
      </c>
      <c r="E151" s="5">
        <v>45565</v>
      </c>
      <c r="F151" s="20" t="s">
        <v>11</v>
      </c>
      <c r="G151" s="7">
        <v>567074000</v>
      </c>
      <c r="H151" s="7">
        <v>517500000</v>
      </c>
      <c r="I151" s="7">
        <f>OPERATORS[[#This Row],[Total Sales]]-OPERATORS[[#This Row],[Total Payouts]]</f>
        <v>49574000</v>
      </c>
      <c r="J151" s="7">
        <v>0</v>
      </c>
      <c r="K151" s="7">
        <v>14872200</v>
      </c>
      <c r="L151" s="8">
        <v>14872200</v>
      </c>
    </row>
    <row r="152" spans="1:13" s="23" customFormat="1" ht="14" x14ac:dyDescent="0.3">
      <c r="A152" s="18">
        <f>ROW(A151)</f>
        <v>151</v>
      </c>
      <c r="B152" s="19" t="s">
        <v>12</v>
      </c>
      <c r="C152" s="20" t="s">
        <v>44</v>
      </c>
      <c r="D152" s="20" t="str">
        <f t="shared" si="6"/>
        <v/>
      </c>
      <c r="E152" s="5">
        <v>45565</v>
      </c>
      <c r="F152" s="20" t="s">
        <v>11</v>
      </c>
      <c r="G152" s="7" t="s">
        <v>25</v>
      </c>
      <c r="H152" s="7" t="s">
        <v>20</v>
      </c>
      <c r="I152" s="7">
        <v>0</v>
      </c>
      <c r="J152" s="7" t="s">
        <v>20</v>
      </c>
      <c r="K152" s="7" t="s">
        <v>20</v>
      </c>
      <c r="L152" s="8" t="s">
        <v>20</v>
      </c>
    </row>
    <row r="153" spans="1:13" s="23" customFormat="1" ht="14" x14ac:dyDescent="0.3">
      <c r="A153" s="18">
        <v>51</v>
      </c>
      <c r="B153" s="19" t="s">
        <v>3</v>
      </c>
      <c r="C153" s="20" t="s">
        <v>44</v>
      </c>
      <c r="D153" s="20" t="str">
        <f t="shared" si="6"/>
        <v/>
      </c>
      <c r="E153" s="5">
        <v>45565</v>
      </c>
      <c r="F153" s="20" t="s">
        <v>11</v>
      </c>
      <c r="G153" s="7">
        <v>18466310</v>
      </c>
      <c r="H153" s="7">
        <v>17755377</v>
      </c>
      <c r="I153" s="7">
        <f>OPERATORS[[#This Row],[Total Sales]]-OPERATORS[[#This Row],[Total Payouts]]</f>
        <v>710933</v>
      </c>
      <c r="J153" s="7">
        <v>0</v>
      </c>
      <c r="K153" s="7">
        <v>452123</v>
      </c>
      <c r="L153" s="8">
        <v>452123</v>
      </c>
    </row>
    <row r="154" spans="1:13" s="23" customFormat="1" ht="14" x14ac:dyDescent="0.3">
      <c r="A154" s="18">
        <f>ROW(A153)</f>
        <v>153</v>
      </c>
      <c r="B154" s="19" t="s">
        <v>3</v>
      </c>
      <c r="C154" s="20" t="s">
        <v>61</v>
      </c>
      <c r="D154" s="20" t="str">
        <f t="shared" si="6"/>
        <v/>
      </c>
      <c r="E154" s="5">
        <v>45565</v>
      </c>
      <c r="F154" s="20" t="s">
        <v>11</v>
      </c>
      <c r="G154" s="7">
        <v>1254771700</v>
      </c>
      <c r="H154" s="7">
        <v>1141352100</v>
      </c>
      <c r="I154" s="7">
        <f>OPERATORS[[#This Row],[Total Sales]]-OPERATORS[[#This Row],[Total Payouts]]</f>
        <v>113419600</v>
      </c>
      <c r="J154" s="7">
        <v>0</v>
      </c>
      <c r="K154" s="7">
        <v>34494780</v>
      </c>
      <c r="L154" s="8">
        <v>34494780</v>
      </c>
    </row>
    <row r="155" spans="1:13" s="23" customFormat="1" ht="14" x14ac:dyDescent="0.3">
      <c r="A155" s="18">
        <v>52</v>
      </c>
      <c r="B155" s="19" t="s">
        <v>16</v>
      </c>
      <c r="C155" s="20" t="s">
        <v>69</v>
      </c>
      <c r="D155" s="20" t="str">
        <f t="shared" si="6"/>
        <v/>
      </c>
      <c r="E155" s="5">
        <v>45565</v>
      </c>
      <c r="F155" s="20" t="s">
        <v>11</v>
      </c>
      <c r="G155" s="7">
        <v>624313900</v>
      </c>
      <c r="H155" s="7">
        <v>520097523</v>
      </c>
      <c r="I155" s="7">
        <f>OPERATORS[[#This Row],[Total Sales]]-OPERATORS[[#This Row],[Total Payouts]]</f>
        <v>104216377</v>
      </c>
      <c r="J155" s="7">
        <v>0</v>
      </c>
      <c r="K155" s="7">
        <v>31264913</v>
      </c>
      <c r="L155" s="8">
        <v>31264913</v>
      </c>
    </row>
    <row r="156" spans="1:13" s="23" customFormat="1" ht="14" x14ac:dyDescent="0.3">
      <c r="A156" s="18">
        <f>ROW(A155)</f>
        <v>155</v>
      </c>
      <c r="B156" s="19" t="s">
        <v>12</v>
      </c>
      <c r="C156" s="20" t="s">
        <v>73</v>
      </c>
      <c r="D156" s="20" t="str">
        <f t="shared" si="6"/>
        <v/>
      </c>
      <c r="E156" s="5">
        <v>45565</v>
      </c>
      <c r="F156" s="20" t="s">
        <v>11</v>
      </c>
      <c r="G156" s="7" t="s">
        <v>25</v>
      </c>
      <c r="H156" s="7" t="s">
        <v>20</v>
      </c>
      <c r="I156" s="7">
        <v>0</v>
      </c>
      <c r="J156" s="7" t="s">
        <v>20</v>
      </c>
      <c r="K156" s="7" t="s">
        <v>20</v>
      </c>
      <c r="L156" s="8" t="s">
        <v>20</v>
      </c>
    </row>
    <row r="157" spans="1:13" s="23" customFormat="1" ht="14" x14ac:dyDescent="0.3">
      <c r="A157" s="18">
        <v>53</v>
      </c>
      <c r="B157" s="19" t="s">
        <v>3</v>
      </c>
      <c r="C157" s="20" t="s">
        <v>73</v>
      </c>
      <c r="D157" s="20" t="str">
        <f t="shared" si="6"/>
        <v/>
      </c>
      <c r="E157" s="5">
        <v>45565</v>
      </c>
      <c r="F157" s="20" t="s">
        <v>11</v>
      </c>
      <c r="G157" s="7" t="s">
        <v>25</v>
      </c>
      <c r="H157" s="7" t="s">
        <v>20</v>
      </c>
      <c r="I157" s="7">
        <v>0</v>
      </c>
      <c r="J157" s="7">
        <v>0</v>
      </c>
      <c r="K157" s="7" t="s">
        <v>20</v>
      </c>
      <c r="L157" s="8" t="s">
        <v>20</v>
      </c>
    </row>
    <row r="158" spans="1:13" s="23" customFormat="1" ht="14" x14ac:dyDescent="0.3">
      <c r="A158" s="18">
        <f>ROW(A157)</f>
        <v>157</v>
      </c>
      <c r="B158" s="19" t="s">
        <v>12</v>
      </c>
      <c r="C158" s="20" t="s">
        <v>65</v>
      </c>
      <c r="D158" s="20" t="str">
        <f t="shared" si="6"/>
        <v/>
      </c>
      <c r="E158" s="5">
        <v>45565</v>
      </c>
      <c r="F158" s="20" t="s">
        <v>11</v>
      </c>
      <c r="G158" s="7" t="s">
        <v>25</v>
      </c>
      <c r="H158" s="7" t="s">
        <v>20</v>
      </c>
      <c r="I158" s="7">
        <v>0</v>
      </c>
      <c r="J158" s="7" t="s">
        <v>20</v>
      </c>
      <c r="K158" s="7" t="s">
        <v>20</v>
      </c>
      <c r="L158" s="8" t="s">
        <v>20</v>
      </c>
    </row>
    <row r="159" spans="1:13" s="23" customFormat="1" ht="14" x14ac:dyDescent="0.3">
      <c r="A159" s="18">
        <v>54</v>
      </c>
      <c r="B159" s="19" t="s">
        <v>3</v>
      </c>
      <c r="C159" s="20" t="s">
        <v>65</v>
      </c>
      <c r="D159" s="20" t="str">
        <f t="shared" si="6"/>
        <v/>
      </c>
      <c r="E159" s="5">
        <v>45565</v>
      </c>
      <c r="F159" s="20" t="s">
        <v>11</v>
      </c>
      <c r="G159" s="7" t="s">
        <v>25</v>
      </c>
      <c r="H159" s="7" t="s">
        <v>20</v>
      </c>
      <c r="I159" s="7">
        <v>0</v>
      </c>
      <c r="J159" s="7">
        <v>0</v>
      </c>
      <c r="K159" s="7" t="s">
        <v>20</v>
      </c>
      <c r="L159" s="8" t="s">
        <v>20</v>
      </c>
    </row>
    <row r="160" spans="1:13" s="23" customFormat="1" ht="14" x14ac:dyDescent="0.3">
      <c r="A160" s="18">
        <f>ROW(A159)</f>
        <v>159</v>
      </c>
      <c r="B160" s="19" t="s">
        <v>12</v>
      </c>
      <c r="C160" s="20" t="s">
        <v>45</v>
      </c>
      <c r="D160" s="20" t="str">
        <f t="shared" si="6"/>
        <v/>
      </c>
      <c r="E160" s="5">
        <v>45565</v>
      </c>
      <c r="F160" s="20" t="s">
        <v>11</v>
      </c>
      <c r="G160" s="7">
        <v>4668370502</v>
      </c>
      <c r="H160" s="7">
        <v>3101948537</v>
      </c>
      <c r="I160" s="7">
        <f>OPERATORS[[#This Row],[Total Sales]]-OPERATORS[[#This Row],[Total Payouts]]</f>
        <v>1566421965</v>
      </c>
      <c r="J160" s="7">
        <v>465292281</v>
      </c>
      <c r="K160" s="7">
        <v>313284393</v>
      </c>
      <c r="L160" s="8">
        <v>778576674</v>
      </c>
    </row>
    <row r="161" spans="1:12" s="23" customFormat="1" ht="14" x14ac:dyDescent="0.3">
      <c r="A161" s="18">
        <v>55</v>
      </c>
      <c r="B161" s="19" t="s">
        <v>16</v>
      </c>
      <c r="C161" s="20" t="s">
        <v>45</v>
      </c>
      <c r="D161" s="20" t="str">
        <f t="shared" si="6"/>
        <v/>
      </c>
      <c r="E161" s="5">
        <v>45565</v>
      </c>
      <c r="F161" s="20" t="s">
        <v>11</v>
      </c>
      <c r="G161" s="7">
        <v>3257055954</v>
      </c>
      <c r="H161" s="7">
        <v>2302895919</v>
      </c>
      <c r="I161" s="7">
        <f>OPERATORS[[#This Row],[Total Sales]]-OPERATORS[[#This Row],[Total Payouts]]</f>
        <v>954160035</v>
      </c>
      <c r="J161" s="7">
        <v>0</v>
      </c>
      <c r="K161" s="7">
        <v>286248011</v>
      </c>
      <c r="L161" s="8">
        <v>286248011</v>
      </c>
    </row>
    <row r="162" spans="1:12" s="23" customFormat="1" ht="14" x14ac:dyDescent="0.3">
      <c r="A162" s="18">
        <f>ROW(A161)</f>
        <v>161</v>
      </c>
      <c r="B162" s="19" t="s">
        <v>12</v>
      </c>
      <c r="C162" s="20" t="s">
        <v>36</v>
      </c>
      <c r="D162" s="20" t="str">
        <f t="shared" si="6"/>
        <v/>
      </c>
      <c r="E162" s="5">
        <v>45565</v>
      </c>
      <c r="F162" s="20" t="s">
        <v>11</v>
      </c>
      <c r="G162" s="7">
        <v>55550143</v>
      </c>
      <c r="H162" s="7">
        <v>51614109</v>
      </c>
      <c r="I162" s="7">
        <f>OPERATORS[[#This Row],[Total Sales]]-OPERATORS[[#This Row],[Total Payouts]]</f>
        <v>3936034</v>
      </c>
      <c r="J162" s="7">
        <v>7742116</v>
      </c>
      <c r="K162" s="7">
        <v>2561497</v>
      </c>
      <c r="L162" s="8">
        <v>10303613</v>
      </c>
    </row>
    <row r="163" spans="1:12" s="23" customFormat="1" ht="14" x14ac:dyDescent="0.3">
      <c r="A163" s="18">
        <v>56</v>
      </c>
      <c r="B163" s="19" t="s">
        <v>16</v>
      </c>
      <c r="C163" s="20" t="s">
        <v>36</v>
      </c>
      <c r="D163" s="20" t="str">
        <f t="shared" si="6"/>
        <v/>
      </c>
      <c r="E163" s="5">
        <v>45565</v>
      </c>
      <c r="F163" s="20" t="s">
        <v>11</v>
      </c>
      <c r="G163" s="7">
        <v>202247320</v>
      </c>
      <c r="H163" s="7">
        <v>171177398</v>
      </c>
      <c r="I163" s="7">
        <f>OPERATORS[[#This Row],[Total Sales]]-OPERATORS[[#This Row],[Total Payouts]]</f>
        <v>31069922</v>
      </c>
      <c r="J163" s="7">
        <v>0</v>
      </c>
      <c r="K163" s="7">
        <v>9320977</v>
      </c>
      <c r="L163" s="8">
        <v>9320977</v>
      </c>
    </row>
    <row r="164" spans="1:12" s="23" customFormat="1" ht="14" x14ac:dyDescent="0.3">
      <c r="A164" s="18">
        <f>ROW(A163)</f>
        <v>163</v>
      </c>
      <c r="B164" s="19" t="s">
        <v>12</v>
      </c>
      <c r="C164" s="20" t="s">
        <v>70</v>
      </c>
      <c r="D164" s="20" t="str">
        <f t="shared" si="6"/>
        <v/>
      </c>
      <c r="E164" s="5">
        <v>45565</v>
      </c>
      <c r="F164" s="20" t="s">
        <v>11</v>
      </c>
      <c r="G164" s="7">
        <v>729675009</v>
      </c>
      <c r="H164" s="7">
        <v>609337436</v>
      </c>
      <c r="I164" s="7">
        <f>OPERATORS[[#This Row],[Total Sales]]-OPERATORS[[#This Row],[Total Payouts]]</f>
        <v>120337573</v>
      </c>
      <c r="J164" s="7">
        <v>91400615</v>
      </c>
      <c r="K164" s="7">
        <v>29185015</v>
      </c>
      <c r="L164" s="8">
        <v>120585630</v>
      </c>
    </row>
    <row r="165" spans="1:12" s="23" customFormat="1" ht="14" x14ac:dyDescent="0.3">
      <c r="A165" s="18">
        <v>57</v>
      </c>
      <c r="B165" s="19" t="s">
        <v>3</v>
      </c>
      <c r="C165" s="20" t="s">
        <v>70</v>
      </c>
      <c r="D165" s="20" t="str">
        <f t="shared" si="6"/>
        <v/>
      </c>
      <c r="E165" s="5">
        <v>45565</v>
      </c>
      <c r="F165" s="20" t="s">
        <v>11</v>
      </c>
      <c r="G165" s="7">
        <v>667795980</v>
      </c>
      <c r="H165" s="7">
        <v>643861368</v>
      </c>
      <c r="I165" s="7">
        <f>OPERATORS[[#This Row],[Total Sales]]-OPERATORS[[#This Row],[Total Payouts]]</f>
        <v>23934612</v>
      </c>
      <c r="J165" s="7">
        <v>0</v>
      </c>
      <c r="K165" s="7">
        <v>8623359</v>
      </c>
      <c r="L165" s="8">
        <v>8623359</v>
      </c>
    </row>
    <row r="166" spans="1:12" s="23" customFormat="1" ht="14" x14ac:dyDescent="0.3">
      <c r="A166" s="18">
        <f>ROW(A165)</f>
        <v>165</v>
      </c>
      <c r="B166" s="19" t="s">
        <v>3</v>
      </c>
      <c r="C166" s="20" t="s">
        <v>33</v>
      </c>
      <c r="D166" s="20" t="str">
        <f t="shared" si="6"/>
        <v/>
      </c>
      <c r="E166" s="5">
        <v>45565</v>
      </c>
      <c r="F166" s="20" t="s">
        <v>11</v>
      </c>
      <c r="G166" s="7">
        <v>462570000</v>
      </c>
      <c r="H166" s="7">
        <v>438040000</v>
      </c>
      <c r="I166" s="7">
        <f>OPERATORS[[#This Row],[Total Sales]]-OPERATORS[[#This Row],[Total Payouts]]</f>
        <v>24530000</v>
      </c>
      <c r="J166" s="7">
        <v>0</v>
      </c>
      <c r="K166" s="7">
        <v>13038000</v>
      </c>
      <c r="L166" s="8">
        <v>13038000</v>
      </c>
    </row>
    <row r="167" spans="1:12" s="23" customFormat="1" ht="14" x14ac:dyDescent="0.3">
      <c r="A167" s="18">
        <v>61</v>
      </c>
      <c r="B167" s="19" t="s">
        <v>3</v>
      </c>
      <c r="C167" s="20" t="s">
        <v>41</v>
      </c>
      <c r="D167" s="20" t="str">
        <f t="shared" si="6"/>
        <v/>
      </c>
      <c r="E167" s="5">
        <v>45565</v>
      </c>
      <c r="F167" s="20" t="s">
        <v>11</v>
      </c>
      <c r="G167" s="7">
        <v>245573631348</v>
      </c>
      <c r="H167" s="7">
        <v>236608710573</v>
      </c>
      <c r="I167" s="7">
        <f>OPERATORS[[#This Row],[Total Sales]]-OPERATORS[[#This Row],[Total Payouts]]</f>
        <v>8964920775</v>
      </c>
      <c r="J167" s="7">
        <v>0</v>
      </c>
      <c r="K167" s="7">
        <v>2689476233</v>
      </c>
      <c r="L167" s="8">
        <v>2689476233</v>
      </c>
    </row>
    <row r="168" spans="1:12" s="23" customFormat="1" ht="14" x14ac:dyDescent="0.3">
      <c r="A168" s="18">
        <f>ROW(A167)</f>
        <v>167</v>
      </c>
      <c r="B168" s="19" t="s">
        <v>12</v>
      </c>
      <c r="C168" s="20" t="s">
        <v>41</v>
      </c>
      <c r="D168" s="20" t="str">
        <f t="shared" si="6"/>
        <v/>
      </c>
      <c r="E168" s="5">
        <v>45565</v>
      </c>
      <c r="F168" s="20" t="s">
        <v>11</v>
      </c>
      <c r="G168" s="7">
        <v>284974842228</v>
      </c>
      <c r="H168" s="7">
        <v>272461815350</v>
      </c>
      <c r="I168" s="7">
        <f>OPERATORS[[#This Row],[Total Sales]]-OPERATORS[[#This Row],[Total Payouts]]</f>
        <v>12513026878</v>
      </c>
      <c r="J168" s="7">
        <v>40869272303</v>
      </c>
      <c r="K168" s="7">
        <v>4218847646</v>
      </c>
      <c r="L168" s="8">
        <v>45088119949</v>
      </c>
    </row>
    <row r="169" spans="1:12" s="23" customFormat="1" ht="14" x14ac:dyDescent="0.3">
      <c r="A169" s="18">
        <v>62</v>
      </c>
      <c r="B169" s="19" t="s">
        <v>16</v>
      </c>
      <c r="C169" s="20" t="s">
        <v>46</v>
      </c>
      <c r="D169" s="20" t="str">
        <f t="shared" si="6"/>
        <v/>
      </c>
      <c r="E169" s="5">
        <v>45565</v>
      </c>
      <c r="F169" s="20" t="s">
        <v>11</v>
      </c>
      <c r="G169" s="7">
        <v>1831344300</v>
      </c>
      <c r="H169" s="7">
        <v>1593440702</v>
      </c>
      <c r="I169" s="7">
        <f>OPERATORS[[#This Row],[Total Sales]]-OPERATORS[[#This Row],[Total Payouts]]</f>
        <v>237903598</v>
      </c>
      <c r="J169" s="7">
        <v>0</v>
      </c>
      <c r="K169" s="7">
        <v>71371079</v>
      </c>
      <c r="L169" s="8">
        <v>71371079</v>
      </c>
    </row>
    <row r="170" spans="1:12" s="23" customFormat="1" ht="14" x14ac:dyDescent="0.3">
      <c r="A170" s="18">
        <f>ROW(A169)</f>
        <v>169</v>
      </c>
      <c r="B170" s="19" t="s">
        <v>12</v>
      </c>
      <c r="C170" s="20" t="s">
        <v>46</v>
      </c>
      <c r="D170" s="20" t="str">
        <f t="shared" si="6"/>
        <v/>
      </c>
      <c r="E170" s="5">
        <v>45565</v>
      </c>
      <c r="F170" s="20" t="s">
        <v>11</v>
      </c>
      <c r="G170" s="7">
        <v>272801616</v>
      </c>
      <c r="H170" s="7">
        <v>160208306</v>
      </c>
      <c r="I170" s="7">
        <f>OPERATORS[[#This Row],[Total Sales]]-OPERATORS[[#This Row],[Total Payouts]]</f>
        <v>112593310</v>
      </c>
      <c r="J170" s="7">
        <v>24031246</v>
      </c>
      <c r="K170" s="7">
        <v>24009532</v>
      </c>
      <c r="L170" s="8">
        <v>48040778</v>
      </c>
    </row>
    <row r="171" spans="1:12" s="23" customFormat="1" ht="14" x14ac:dyDescent="0.3">
      <c r="A171" s="18">
        <v>63</v>
      </c>
      <c r="B171" s="19" t="s">
        <v>12</v>
      </c>
      <c r="C171" s="20" t="s">
        <v>68</v>
      </c>
      <c r="D171" s="20" t="str">
        <f t="shared" ref="D171:D202" si="7">IFERROR(VLOOKUP(C171,OPerators_Range,2,FALSE),"")</f>
        <v/>
      </c>
      <c r="E171" s="5">
        <v>45565</v>
      </c>
      <c r="F171" s="20" t="s">
        <v>11</v>
      </c>
      <c r="G171" s="7">
        <v>106108732</v>
      </c>
      <c r="H171" s="7">
        <v>52559718</v>
      </c>
      <c r="I171" s="7">
        <f>OPERATORS[[#This Row],[Total Sales]]-OPERATORS[[#This Row],[Total Payouts]]</f>
        <v>53549014</v>
      </c>
      <c r="J171" s="7">
        <v>7883958</v>
      </c>
      <c r="K171" s="7">
        <v>10709803</v>
      </c>
      <c r="L171" s="8">
        <v>18593761</v>
      </c>
    </row>
    <row r="172" spans="1:12" s="23" customFormat="1" ht="14" x14ac:dyDescent="0.3">
      <c r="A172" s="18">
        <f>ROW(A171)</f>
        <v>171</v>
      </c>
      <c r="B172" s="19" t="s">
        <v>16</v>
      </c>
      <c r="C172" s="20" t="s">
        <v>77</v>
      </c>
      <c r="D172" s="20" t="str">
        <f t="shared" si="7"/>
        <v/>
      </c>
      <c r="E172" s="5">
        <v>45565</v>
      </c>
      <c r="F172" s="20" t="s">
        <v>11</v>
      </c>
      <c r="G172" s="7">
        <v>583260900</v>
      </c>
      <c r="H172" s="7">
        <v>481016230</v>
      </c>
      <c r="I172" s="7">
        <f>OPERATORS[[#This Row],[Total Sales]]-OPERATORS[[#This Row],[Total Payouts]]</f>
        <v>102244670</v>
      </c>
      <c r="J172" s="7">
        <v>0</v>
      </c>
      <c r="K172" s="7">
        <v>30673401</v>
      </c>
      <c r="L172" s="8">
        <v>30673401</v>
      </c>
    </row>
    <row r="173" spans="1:12" s="23" customFormat="1" ht="14" x14ac:dyDescent="0.3">
      <c r="A173" s="18">
        <v>70</v>
      </c>
      <c r="B173" s="19" t="s">
        <v>12</v>
      </c>
      <c r="C173" s="20" t="s">
        <v>31</v>
      </c>
      <c r="D173" s="20" t="str">
        <f t="shared" si="7"/>
        <v/>
      </c>
      <c r="E173" s="5">
        <v>45565</v>
      </c>
      <c r="F173" s="20" t="s">
        <v>11</v>
      </c>
      <c r="G173" s="7">
        <v>20006622</v>
      </c>
      <c r="H173" s="7">
        <v>16068940</v>
      </c>
      <c r="I173" s="7">
        <f>OPERATORS[[#This Row],[Total Sales]]-OPERATORS[[#This Row],[Total Payouts]]</f>
        <v>3937682</v>
      </c>
      <c r="J173" s="7">
        <v>2410341</v>
      </c>
      <c r="K173" s="7">
        <v>1471072</v>
      </c>
      <c r="L173" s="8">
        <v>3881413</v>
      </c>
    </row>
    <row r="174" spans="1:12" s="23" customFormat="1" ht="14" x14ac:dyDescent="0.3">
      <c r="A174" s="18">
        <v>71</v>
      </c>
      <c r="B174" s="19" t="s">
        <v>3</v>
      </c>
      <c r="C174" s="20" t="s">
        <v>53</v>
      </c>
      <c r="D174" s="20" t="str">
        <f t="shared" si="7"/>
        <v/>
      </c>
      <c r="E174" s="5">
        <v>45565</v>
      </c>
      <c r="F174" s="20" t="s">
        <v>11</v>
      </c>
      <c r="G174" s="7">
        <v>534757000</v>
      </c>
      <c r="H174" s="7">
        <v>398535000</v>
      </c>
      <c r="I174" s="7">
        <f>OPERATORS[[#This Row],[Total Sales]]-OPERATORS[[#This Row],[Total Payouts]]</f>
        <v>136222000</v>
      </c>
      <c r="J174" s="7">
        <v>0</v>
      </c>
      <c r="K174" s="7">
        <v>51910350</v>
      </c>
      <c r="L174" s="8">
        <v>51910350</v>
      </c>
    </row>
    <row r="175" spans="1:12" s="23" customFormat="1" ht="14" x14ac:dyDescent="0.3">
      <c r="A175" s="18">
        <f>ROW(A174)</f>
        <v>174</v>
      </c>
      <c r="B175" s="19" t="s">
        <v>3</v>
      </c>
      <c r="C175" s="20" t="s">
        <v>63</v>
      </c>
      <c r="D175" s="20" t="str">
        <f t="shared" si="7"/>
        <v/>
      </c>
      <c r="E175" s="5">
        <v>45565</v>
      </c>
      <c r="F175" s="20" t="s">
        <v>11</v>
      </c>
      <c r="G175" s="7">
        <v>554643000</v>
      </c>
      <c r="H175" s="7">
        <v>310415000</v>
      </c>
      <c r="I175" s="7">
        <f>OPERATORS[[#This Row],[Total Sales]]-OPERATORS[[#This Row],[Total Payouts]]</f>
        <v>244228000</v>
      </c>
      <c r="J175" s="7">
        <v>0</v>
      </c>
      <c r="K175" s="7">
        <v>86250900</v>
      </c>
      <c r="L175" s="8">
        <v>86250900</v>
      </c>
    </row>
    <row r="176" spans="1:12" s="23" customFormat="1" ht="14" x14ac:dyDescent="0.3">
      <c r="A176" s="18">
        <v>83</v>
      </c>
      <c r="B176" s="19" t="s">
        <v>12</v>
      </c>
      <c r="C176" s="20" t="s">
        <v>32</v>
      </c>
      <c r="D176" s="20" t="str">
        <f t="shared" si="7"/>
        <v/>
      </c>
      <c r="E176" s="5">
        <v>45565</v>
      </c>
      <c r="F176" s="20" t="s">
        <v>11</v>
      </c>
      <c r="G176" s="7">
        <v>449927046</v>
      </c>
      <c r="H176" s="7">
        <v>346691660</v>
      </c>
      <c r="I176" s="7">
        <f>OPERATORS[[#This Row],[Total Sales]]-OPERATORS[[#This Row],[Total Payouts]]</f>
        <v>103235386</v>
      </c>
      <c r="J176" s="7">
        <v>52003749</v>
      </c>
      <c r="K176" s="7">
        <v>22569833</v>
      </c>
      <c r="L176" s="8">
        <v>74573582</v>
      </c>
    </row>
    <row r="177" spans="1:12" s="23" customFormat="1" ht="14" x14ac:dyDescent="0.3">
      <c r="A177" s="18">
        <f>ROW(A176)</f>
        <v>176</v>
      </c>
      <c r="B177" s="19" t="s">
        <v>3</v>
      </c>
      <c r="C177" s="20" t="s">
        <v>32</v>
      </c>
      <c r="D177" s="20" t="str">
        <f t="shared" si="7"/>
        <v/>
      </c>
      <c r="E177" s="5">
        <v>45565</v>
      </c>
      <c r="F177" s="20" t="s">
        <v>11</v>
      </c>
      <c r="G177" s="7">
        <v>100253062</v>
      </c>
      <c r="H177" s="7">
        <v>59768812</v>
      </c>
      <c r="I177" s="7">
        <f>OPERATORS[[#This Row],[Total Sales]]-OPERATORS[[#This Row],[Total Payouts]]</f>
        <v>40484250</v>
      </c>
      <c r="J177" s="7">
        <v>0</v>
      </c>
      <c r="K177" s="7">
        <v>15745085</v>
      </c>
      <c r="L177" s="8">
        <v>15745085</v>
      </c>
    </row>
    <row r="178" spans="1:12" s="23" customFormat="1" ht="14" x14ac:dyDescent="0.3">
      <c r="A178" s="18">
        <v>84</v>
      </c>
      <c r="B178" s="19" t="s">
        <v>12</v>
      </c>
      <c r="C178" s="20" t="s">
        <v>74</v>
      </c>
      <c r="D178" s="20" t="str">
        <f t="shared" si="7"/>
        <v/>
      </c>
      <c r="E178" s="5">
        <v>45565</v>
      </c>
      <c r="F178" s="20" t="s">
        <v>11</v>
      </c>
      <c r="G178" s="7">
        <v>83577300</v>
      </c>
      <c r="H178" s="7">
        <v>52372900</v>
      </c>
      <c r="I178" s="7">
        <f>OPERATORS[[#This Row],[Total Sales]]-OPERATORS[[#This Row],[Total Payouts]]</f>
        <v>31204400</v>
      </c>
      <c r="J178" s="7">
        <v>7855935</v>
      </c>
      <c r="K178" s="7">
        <v>7230300</v>
      </c>
      <c r="L178" s="8">
        <v>15086235</v>
      </c>
    </row>
    <row r="179" spans="1:12" s="23" customFormat="1" ht="14" x14ac:dyDescent="0.3">
      <c r="A179" s="18">
        <f>ROW(A178)</f>
        <v>178</v>
      </c>
      <c r="B179" s="19" t="s">
        <v>3</v>
      </c>
      <c r="C179" s="20" t="s">
        <v>52</v>
      </c>
      <c r="D179" s="20" t="str">
        <f t="shared" si="7"/>
        <v/>
      </c>
      <c r="E179" s="5">
        <v>45565</v>
      </c>
      <c r="F179" s="20" t="s">
        <v>11</v>
      </c>
      <c r="G179" s="7">
        <v>67360000</v>
      </c>
      <c r="H179" s="7">
        <v>16490000</v>
      </c>
      <c r="I179" s="7">
        <f>OPERATORS[[#This Row],[Total Sales]]-OPERATORS[[#This Row],[Total Payouts]]</f>
        <v>50870000</v>
      </c>
      <c r="J179" s="7">
        <v>0</v>
      </c>
      <c r="K179" s="7">
        <v>15261000</v>
      </c>
      <c r="L179" s="8">
        <v>15261000</v>
      </c>
    </row>
    <row r="180" spans="1:12" s="23" customFormat="1" ht="14" x14ac:dyDescent="0.3">
      <c r="A180" s="18">
        <v>94</v>
      </c>
      <c r="B180" s="19" t="s">
        <v>16</v>
      </c>
      <c r="C180" s="20" t="s">
        <v>59</v>
      </c>
      <c r="D180" s="20" t="str">
        <f t="shared" si="7"/>
        <v/>
      </c>
      <c r="E180" s="5">
        <v>45565</v>
      </c>
      <c r="F180" s="20" t="s">
        <v>11</v>
      </c>
      <c r="G180" s="7">
        <v>40848400</v>
      </c>
      <c r="H180" s="7">
        <v>33372432</v>
      </c>
      <c r="I180" s="7">
        <f>OPERATORS[[#This Row],[Total Sales]]-OPERATORS[[#This Row],[Total Payouts]]</f>
        <v>7475968</v>
      </c>
      <c r="J180" s="7">
        <v>0</v>
      </c>
      <c r="K180" s="7">
        <v>2242790</v>
      </c>
      <c r="L180" s="8">
        <v>2242790</v>
      </c>
    </row>
    <row r="181" spans="1:12" s="23" customFormat="1" ht="14" x14ac:dyDescent="0.3">
      <c r="A181" s="18">
        <f>ROW(A180)</f>
        <v>180</v>
      </c>
      <c r="B181" s="19" t="s">
        <v>12</v>
      </c>
      <c r="C181" s="20" t="s">
        <v>67</v>
      </c>
      <c r="D181" s="20" t="str">
        <f t="shared" si="7"/>
        <v/>
      </c>
      <c r="E181" s="5">
        <v>45565</v>
      </c>
      <c r="F181" s="20" t="s">
        <v>11</v>
      </c>
      <c r="G181" s="7">
        <v>711081195</v>
      </c>
      <c r="H181" s="7">
        <v>420566218</v>
      </c>
      <c r="I181" s="7">
        <f>OPERATORS[[#This Row],[Total Sales]]-OPERATORS[[#This Row],[Total Payouts]]</f>
        <v>290514977</v>
      </c>
      <c r="J181" s="7">
        <v>63084933</v>
      </c>
      <c r="K181" s="7">
        <v>58102995</v>
      </c>
      <c r="L181" s="8">
        <v>121187928</v>
      </c>
    </row>
    <row r="182" spans="1:12" s="23" customFormat="1" ht="14" x14ac:dyDescent="0.3">
      <c r="A182" s="18">
        <v>99</v>
      </c>
      <c r="B182" s="19" t="s">
        <v>16</v>
      </c>
      <c r="C182" s="20" t="s">
        <v>27</v>
      </c>
      <c r="D182" s="20" t="str">
        <f t="shared" si="7"/>
        <v/>
      </c>
      <c r="E182" s="5">
        <v>45565</v>
      </c>
      <c r="F182" s="20" t="s">
        <v>11</v>
      </c>
      <c r="G182" s="7">
        <v>46046131</v>
      </c>
      <c r="H182" s="7">
        <v>28699635</v>
      </c>
      <c r="I182" s="7">
        <f>OPERATORS[[#This Row],[Total Sales]]-OPERATORS[[#This Row],[Total Payouts]]</f>
        <v>17346496</v>
      </c>
      <c r="J182" s="7">
        <v>0</v>
      </c>
      <c r="K182" s="7">
        <v>5203949</v>
      </c>
      <c r="L182" s="8">
        <v>5203949</v>
      </c>
    </row>
    <row r="183" spans="1:12" s="23" customFormat="1" ht="14" x14ac:dyDescent="0.3">
      <c r="A183" s="18">
        <f>ROW(A182)</f>
        <v>182</v>
      </c>
      <c r="B183" s="19" t="s">
        <v>12</v>
      </c>
      <c r="C183" s="20" t="s">
        <v>27</v>
      </c>
      <c r="D183" s="20" t="str">
        <f t="shared" si="7"/>
        <v/>
      </c>
      <c r="E183" s="5">
        <v>45565</v>
      </c>
      <c r="F183" s="20" t="s">
        <v>11</v>
      </c>
      <c r="G183" s="7" t="s">
        <v>22</v>
      </c>
      <c r="H183" s="7" t="s">
        <v>19</v>
      </c>
      <c r="I183" s="7">
        <v>0</v>
      </c>
      <c r="J183" s="7">
        <v>0</v>
      </c>
      <c r="K183" s="7" t="s">
        <v>23</v>
      </c>
      <c r="L183" s="8" t="s">
        <v>23</v>
      </c>
    </row>
    <row r="184" spans="1:12" s="23" customFormat="1" ht="14" x14ac:dyDescent="0.3">
      <c r="A184" s="18">
        <v>100</v>
      </c>
      <c r="B184" s="19" t="s">
        <v>12</v>
      </c>
      <c r="C184" s="20" t="s">
        <v>60</v>
      </c>
      <c r="D184" s="20" t="str">
        <f t="shared" si="7"/>
        <v/>
      </c>
      <c r="E184" s="5">
        <v>45565</v>
      </c>
      <c r="F184" s="20" t="s">
        <v>11</v>
      </c>
      <c r="G184" s="7">
        <v>6993749003</v>
      </c>
      <c r="H184" s="7">
        <v>5767244746</v>
      </c>
      <c r="I184" s="7">
        <f>OPERATORS[[#This Row],[Total Sales]]-OPERATORS[[#This Row],[Total Payouts]]</f>
        <v>1226504257</v>
      </c>
      <c r="J184" s="7">
        <v>865086712</v>
      </c>
      <c r="K184" s="7">
        <v>370390057</v>
      </c>
      <c r="L184" s="8">
        <v>1235476769</v>
      </c>
    </row>
    <row r="185" spans="1:12" s="23" customFormat="1" ht="14" x14ac:dyDescent="0.3">
      <c r="A185" s="18">
        <f>ROW(A184)</f>
        <v>184</v>
      </c>
      <c r="B185" s="19" t="s">
        <v>16</v>
      </c>
      <c r="C185" s="20" t="s">
        <v>60</v>
      </c>
      <c r="D185" s="20" t="str">
        <f t="shared" si="7"/>
        <v/>
      </c>
      <c r="E185" s="5">
        <v>45565</v>
      </c>
      <c r="F185" s="20" t="s">
        <v>11</v>
      </c>
      <c r="G185" s="7">
        <v>22550328624</v>
      </c>
      <c r="H185" s="7">
        <v>21236211178</v>
      </c>
      <c r="I185" s="7">
        <f>OPERATORS[[#This Row],[Total Sales]]-OPERATORS[[#This Row],[Total Payouts]]</f>
        <v>1314117446</v>
      </c>
      <c r="J185" s="7">
        <v>0</v>
      </c>
      <c r="K185" s="7">
        <v>394235234</v>
      </c>
      <c r="L185" s="8">
        <v>394235234</v>
      </c>
    </row>
    <row r="186" spans="1:12" s="23" customFormat="1" ht="14" x14ac:dyDescent="0.3">
      <c r="A186" s="18">
        <v>101</v>
      </c>
      <c r="B186" s="19" t="s">
        <v>16</v>
      </c>
      <c r="C186" s="20" t="s">
        <v>38</v>
      </c>
      <c r="D186" s="20" t="str">
        <f t="shared" si="7"/>
        <v/>
      </c>
      <c r="E186" s="5">
        <v>45565</v>
      </c>
      <c r="F186" s="20" t="s">
        <v>11</v>
      </c>
      <c r="G186" s="7">
        <v>129206000</v>
      </c>
      <c r="H186" s="7">
        <v>98645192</v>
      </c>
      <c r="I186" s="7">
        <f>OPERATORS[[#This Row],[Total Sales]]-OPERATORS[[#This Row],[Total Payouts]]</f>
        <v>30560808</v>
      </c>
      <c r="J186" s="7">
        <v>0</v>
      </c>
      <c r="K186" s="7">
        <v>9168242</v>
      </c>
      <c r="L186" s="8">
        <v>9168242</v>
      </c>
    </row>
    <row r="187" spans="1:12" s="23" customFormat="1" ht="14" x14ac:dyDescent="0.3">
      <c r="A187" s="18">
        <v>102</v>
      </c>
      <c r="B187" s="19" t="s">
        <v>12</v>
      </c>
      <c r="C187" s="20" t="s">
        <v>28</v>
      </c>
      <c r="D187" s="20" t="str">
        <f t="shared" si="7"/>
        <v/>
      </c>
      <c r="E187" s="5">
        <v>45565</v>
      </c>
      <c r="F187" s="20" t="s">
        <v>11</v>
      </c>
      <c r="G187" s="7">
        <v>1151689143</v>
      </c>
      <c r="H187" s="7">
        <v>903991158</v>
      </c>
      <c r="I187" s="7">
        <f>OPERATORS[[#This Row],[Total Sales]]-OPERATORS[[#This Row],[Total Payouts]]</f>
        <v>247697985</v>
      </c>
      <c r="J187" s="7">
        <v>135598674</v>
      </c>
      <c r="K187" s="7">
        <v>49539597</v>
      </c>
      <c r="L187" s="8">
        <v>185138271</v>
      </c>
    </row>
    <row r="188" spans="1:12" s="23" customFormat="1" ht="14" x14ac:dyDescent="0.3">
      <c r="A188" s="18">
        <f>ROW(A187)</f>
        <v>187</v>
      </c>
      <c r="B188" s="19" t="s">
        <v>3</v>
      </c>
      <c r="C188" s="20" t="s">
        <v>28</v>
      </c>
      <c r="D188" s="20" t="str">
        <f t="shared" si="7"/>
        <v/>
      </c>
      <c r="E188" s="5">
        <v>45565</v>
      </c>
      <c r="F188" s="20" t="s">
        <v>11</v>
      </c>
      <c r="G188" s="7">
        <v>3016844065</v>
      </c>
      <c r="H188" s="7">
        <v>2800066642</v>
      </c>
      <c r="I188" s="7">
        <f>OPERATORS[[#This Row],[Total Sales]]-OPERATORS[[#This Row],[Total Payouts]]</f>
        <v>216777423</v>
      </c>
      <c r="J188" s="7">
        <v>0</v>
      </c>
      <c r="K188" s="7">
        <v>81905744</v>
      </c>
      <c r="L188" s="8">
        <v>81905744</v>
      </c>
    </row>
    <row r="189" spans="1:12" s="23" customFormat="1" ht="14" x14ac:dyDescent="0.3">
      <c r="A189" s="18">
        <v>106</v>
      </c>
      <c r="B189" s="19" t="s">
        <v>3</v>
      </c>
      <c r="C189" s="20" t="s">
        <v>57</v>
      </c>
      <c r="D189" s="20" t="str">
        <f t="shared" si="7"/>
        <v/>
      </c>
      <c r="E189" s="5">
        <v>45565</v>
      </c>
      <c r="F189" s="20" t="s">
        <v>11</v>
      </c>
      <c r="G189" s="7">
        <v>82394700</v>
      </c>
      <c r="H189" s="7">
        <v>37305000</v>
      </c>
      <c r="I189" s="7">
        <f>OPERATORS[[#This Row],[Total Sales]]-OPERATORS[[#This Row],[Total Payouts]]</f>
        <v>45089700</v>
      </c>
      <c r="J189" s="7">
        <v>0</v>
      </c>
      <c r="K189" s="7">
        <v>13526910</v>
      </c>
      <c r="L189" s="8">
        <v>13526910</v>
      </c>
    </row>
    <row r="190" spans="1:12" s="23" customFormat="1" ht="14" x14ac:dyDescent="0.3">
      <c r="A190" s="18">
        <f>ROW(A189)</f>
        <v>189</v>
      </c>
      <c r="B190" s="19" t="s">
        <v>12</v>
      </c>
      <c r="C190" s="20" t="s">
        <v>72</v>
      </c>
      <c r="D190" s="20" t="str">
        <f t="shared" si="7"/>
        <v/>
      </c>
      <c r="E190" s="5">
        <v>45565</v>
      </c>
      <c r="F190" s="20" t="s">
        <v>11</v>
      </c>
      <c r="G190" s="7">
        <v>102668446</v>
      </c>
      <c r="H190" s="7">
        <v>107298194</v>
      </c>
      <c r="I190" s="7">
        <f>OPERATORS[[#This Row],[Total Sales]]-OPERATORS[[#This Row],[Total Payouts]]</f>
        <v>-4629748</v>
      </c>
      <c r="J190" s="7">
        <v>16094729</v>
      </c>
      <c r="K190" s="7">
        <v>3045198</v>
      </c>
      <c r="L190" s="8">
        <v>19139927</v>
      </c>
    </row>
    <row r="191" spans="1:12" s="23" customFormat="1" ht="14" x14ac:dyDescent="0.3">
      <c r="A191" s="18">
        <v>108</v>
      </c>
      <c r="B191" s="19" t="s">
        <v>16</v>
      </c>
      <c r="C191" s="20" t="s">
        <v>72</v>
      </c>
      <c r="D191" s="20" t="str">
        <f t="shared" si="7"/>
        <v/>
      </c>
      <c r="E191" s="5">
        <v>45565</v>
      </c>
      <c r="F191" s="20" t="s">
        <v>11</v>
      </c>
      <c r="G191" s="7">
        <v>101589126</v>
      </c>
      <c r="H191" s="7">
        <v>97471051</v>
      </c>
      <c r="I191" s="7">
        <f>OPERATORS[[#This Row],[Total Sales]]-OPERATORS[[#This Row],[Total Payouts]]</f>
        <v>4118075</v>
      </c>
      <c r="J191" s="7">
        <v>0</v>
      </c>
      <c r="K191" s="7">
        <v>1235422</v>
      </c>
      <c r="L191" s="8">
        <v>1235422</v>
      </c>
    </row>
    <row r="192" spans="1:12" s="23" customFormat="1" ht="14" x14ac:dyDescent="0.3">
      <c r="A192" s="18">
        <f>ROW(A191)</f>
        <v>191</v>
      </c>
      <c r="B192" s="19" t="s">
        <v>3</v>
      </c>
      <c r="C192" s="20" t="s">
        <v>42</v>
      </c>
      <c r="D192" s="20" t="str">
        <f t="shared" si="7"/>
        <v/>
      </c>
      <c r="E192" s="5">
        <v>45565</v>
      </c>
      <c r="F192" s="20" t="s">
        <v>11</v>
      </c>
      <c r="G192" s="7">
        <v>84772510</v>
      </c>
      <c r="H192" s="7">
        <v>65865885</v>
      </c>
      <c r="I192" s="7">
        <f>OPERATORS[[#This Row],[Total Sales]]-OPERATORS[[#This Row],[Total Payouts]]</f>
        <v>18906625</v>
      </c>
      <c r="J192" s="7">
        <v>0</v>
      </c>
      <c r="K192" s="7">
        <v>5696980</v>
      </c>
      <c r="L192" s="8">
        <f>OPERATORS[[#This Row],[Gaming Tax]]+OPERATORS[[#This Row],[Withholding Tax]]</f>
        <v>5696980</v>
      </c>
    </row>
    <row r="193" spans="1:14" s="23" customFormat="1" ht="14" x14ac:dyDescent="0.3">
      <c r="A193" s="18">
        <v>135</v>
      </c>
      <c r="B193" s="19" t="s">
        <v>12</v>
      </c>
      <c r="C193" s="20" t="s">
        <v>42</v>
      </c>
      <c r="D193" s="20" t="str">
        <f t="shared" si="7"/>
        <v/>
      </c>
      <c r="E193" s="5">
        <v>45565</v>
      </c>
      <c r="F193" s="20" t="s">
        <v>11</v>
      </c>
      <c r="G193" s="7">
        <v>79329709</v>
      </c>
      <c r="H193" s="7">
        <v>72782987</v>
      </c>
      <c r="I193" s="7">
        <f>OPERATORS[[#This Row],[Total Sales]]-OPERATORS[[#This Row],[Total Payouts]]</f>
        <v>6546722</v>
      </c>
      <c r="J193" s="7">
        <v>10917448</v>
      </c>
      <c r="K193" s="7">
        <v>1515092</v>
      </c>
      <c r="L193" s="8">
        <v>12432540</v>
      </c>
    </row>
    <row r="194" spans="1:14" s="23" customFormat="1" ht="14" x14ac:dyDescent="0.3">
      <c r="A194" s="18">
        <v>150</v>
      </c>
      <c r="B194" s="19" t="s">
        <v>12</v>
      </c>
      <c r="C194" s="20" t="s">
        <v>55</v>
      </c>
      <c r="D194" s="20" t="str">
        <f t="shared" si="7"/>
        <v/>
      </c>
      <c r="E194" s="5">
        <v>45565</v>
      </c>
      <c r="F194" s="20" t="s">
        <v>11</v>
      </c>
      <c r="G194" s="7">
        <v>142392620</v>
      </c>
      <c r="H194" s="7">
        <v>96683639</v>
      </c>
      <c r="I194" s="7">
        <f>OPERATORS[[#This Row],[Total Sales]]-OPERATORS[[#This Row],[Total Payouts]]</f>
        <v>45708981</v>
      </c>
      <c r="J194" s="7">
        <v>14502546</v>
      </c>
      <c r="K194" s="7">
        <v>9141796</v>
      </c>
      <c r="L194" s="8">
        <v>23644342</v>
      </c>
    </row>
    <row r="195" spans="1:14" s="23" customFormat="1" ht="14" x14ac:dyDescent="0.3">
      <c r="A195" s="18">
        <f>ROW(A194)</f>
        <v>194</v>
      </c>
      <c r="B195" s="19" t="s">
        <v>16</v>
      </c>
      <c r="C195" s="20" t="s">
        <v>63</v>
      </c>
      <c r="D195" s="20" t="str">
        <f t="shared" si="7"/>
        <v/>
      </c>
      <c r="E195" s="5">
        <v>45565</v>
      </c>
      <c r="F195" s="20" t="s">
        <v>11</v>
      </c>
      <c r="G195" s="7">
        <v>135864584</v>
      </c>
      <c r="H195" s="7">
        <v>130430000</v>
      </c>
      <c r="I195" s="7">
        <f>OPERATORS[[#This Row],[Total Sales]]-OPERATORS[[#This Row],[Total Payouts]]</f>
        <v>5434584</v>
      </c>
      <c r="J195" s="7">
        <v>0</v>
      </c>
      <c r="K195" s="7">
        <v>1630375</v>
      </c>
      <c r="L195" s="8">
        <v>1630375</v>
      </c>
    </row>
    <row r="196" spans="1:14" s="23" customFormat="1" ht="14" x14ac:dyDescent="0.3">
      <c r="A196" s="18">
        <f>ROW(A195)</f>
        <v>195</v>
      </c>
      <c r="B196" s="19" t="s">
        <v>3</v>
      </c>
      <c r="C196" s="20" t="s">
        <v>71</v>
      </c>
      <c r="D196" s="20" t="str">
        <f t="shared" si="7"/>
        <v/>
      </c>
      <c r="E196" s="5">
        <v>45565</v>
      </c>
      <c r="F196" s="20" t="s">
        <v>11</v>
      </c>
      <c r="G196" s="7">
        <v>184287000</v>
      </c>
      <c r="H196" s="7">
        <v>66692500</v>
      </c>
      <c r="I196" s="7">
        <f>OPERATORS[[#This Row],[Total Sales]]-OPERATORS[[#This Row],[Total Payouts]]</f>
        <v>117594500</v>
      </c>
      <c r="J196" s="7">
        <v>0</v>
      </c>
      <c r="K196" s="7">
        <v>36455550</v>
      </c>
      <c r="L196" s="8">
        <v>36455550</v>
      </c>
    </row>
    <row r="197" spans="1:14" s="23" customFormat="1" ht="14" x14ac:dyDescent="0.3">
      <c r="A197" s="18">
        <v>171</v>
      </c>
      <c r="B197" s="19" t="s">
        <v>12</v>
      </c>
      <c r="C197" s="20" t="s">
        <v>29</v>
      </c>
      <c r="D197" s="20" t="str">
        <f t="shared" si="7"/>
        <v/>
      </c>
      <c r="E197" s="5">
        <v>45565</v>
      </c>
      <c r="F197" s="20" t="s">
        <v>11</v>
      </c>
      <c r="G197" s="7">
        <v>962969647</v>
      </c>
      <c r="H197" s="7">
        <v>784586689</v>
      </c>
      <c r="I197" s="7">
        <f>OPERATORS[[#This Row],[Total Sales]]-OPERATORS[[#This Row],[Total Payouts]]</f>
        <v>178382958</v>
      </c>
      <c r="J197" s="7">
        <v>117688003</v>
      </c>
      <c r="K197" s="7">
        <v>48447217</v>
      </c>
      <c r="L197" s="8">
        <v>166135220</v>
      </c>
    </row>
    <row r="198" spans="1:14" s="23" customFormat="1" ht="14" x14ac:dyDescent="0.3">
      <c r="A198" s="18">
        <f>ROW(A197)</f>
        <v>197</v>
      </c>
      <c r="B198" s="19" t="s">
        <v>3</v>
      </c>
      <c r="C198" s="20" t="s">
        <v>54</v>
      </c>
      <c r="D198" s="20" t="str">
        <f t="shared" si="7"/>
        <v/>
      </c>
      <c r="E198" s="5">
        <v>45565</v>
      </c>
      <c r="F198" s="20" t="s">
        <v>11</v>
      </c>
      <c r="G198" s="7">
        <v>152787300</v>
      </c>
      <c r="H198" s="7">
        <v>98885000</v>
      </c>
      <c r="I198" s="7">
        <v>53902300</v>
      </c>
      <c r="J198" s="7"/>
      <c r="K198" s="7">
        <v>16170690</v>
      </c>
      <c r="L198" s="8">
        <f>OPERATORS[[#This Row],[Withholding Tax]]+OPERATORS[[#This Row],[Gaming Tax]]</f>
        <v>16170690</v>
      </c>
    </row>
    <row r="199" spans="1:14" s="23" customFormat="1" ht="14" x14ac:dyDescent="0.3">
      <c r="A199" s="18">
        <f>ROW(A198)</f>
        <v>198</v>
      </c>
      <c r="B199" s="3" t="s">
        <v>12</v>
      </c>
      <c r="C199" s="6" t="s">
        <v>54</v>
      </c>
      <c r="D199" s="35" t="str">
        <f t="shared" si="7"/>
        <v/>
      </c>
      <c r="E199" s="5">
        <v>45565</v>
      </c>
      <c r="F199" s="6" t="s">
        <v>11</v>
      </c>
      <c r="G199" s="7">
        <v>234994000</v>
      </c>
      <c r="H199" s="7">
        <v>193497600</v>
      </c>
      <c r="I199" s="7">
        <f>OPERATORS[[#This Row],[Total Sales]]-OPERATORS[[#This Row],[Total Payouts]]</f>
        <v>41496400</v>
      </c>
      <c r="J199" s="7">
        <v>29024640</v>
      </c>
      <c r="K199" s="7">
        <v>12825040</v>
      </c>
      <c r="L199" s="8">
        <f>OPERATORS[[#This Row],[Withholding Tax]]+OPERATORS[[#This Row],[Gaming Tax]]</f>
        <v>41849680</v>
      </c>
    </row>
    <row r="200" spans="1:14" s="23" customFormat="1" ht="14" x14ac:dyDescent="0.3">
      <c r="A200" s="18">
        <f>ROW(A199)</f>
        <v>199</v>
      </c>
      <c r="B200" s="3" t="s">
        <v>12</v>
      </c>
      <c r="C200" s="6" t="s">
        <v>35</v>
      </c>
      <c r="D200" s="35" t="str">
        <f t="shared" si="7"/>
        <v/>
      </c>
      <c r="E200" s="5">
        <v>45565</v>
      </c>
      <c r="F200" s="6" t="s">
        <v>11</v>
      </c>
      <c r="G200" s="7">
        <v>1901750000</v>
      </c>
      <c r="H200" s="7">
        <v>1848078000</v>
      </c>
      <c r="I200" s="7">
        <f>OPERATORS[[#This Row],[Total Sales]]-OPERATORS[[#This Row],[Total Payouts]]</f>
        <v>53672000</v>
      </c>
      <c r="J200" s="7">
        <v>277211700</v>
      </c>
      <c r="K200" s="7">
        <v>15431200</v>
      </c>
      <c r="L200" s="8">
        <f>OPERATORS[[#This Row],[Withholding Tax]]+OPERATORS[[#This Row],[Gaming Tax]]</f>
        <v>292642900</v>
      </c>
    </row>
    <row r="201" spans="1:14" s="23" customFormat="1" ht="14" x14ac:dyDescent="0.3">
      <c r="A201" s="18">
        <v>327</v>
      </c>
      <c r="B201" s="3" t="s">
        <v>16</v>
      </c>
      <c r="C201" s="6" t="s">
        <v>35</v>
      </c>
      <c r="D201" s="35" t="str">
        <f t="shared" si="7"/>
        <v/>
      </c>
      <c r="E201" s="5">
        <v>45565</v>
      </c>
      <c r="F201" s="6" t="s">
        <v>11</v>
      </c>
      <c r="G201" s="7">
        <v>899809280</v>
      </c>
      <c r="H201" s="7">
        <v>854985880</v>
      </c>
      <c r="I201" s="7">
        <f>OPERATORS[[#This Row],[Total Sales]]-OPERATORS[[#This Row],[Total Payouts]]</f>
        <v>44823400</v>
      </c>
      <c r="J201" s="7"/>
      <c r="K201" s="7">
        <v>13830081</v>
      </c>
      <c r="L201" s="8">
        <f>OPERATORS[[#This Row],[Withholding Tax]]+OPERATORS[[#This Row],[Gaming Tax]]</f>
        <v>13830081</v>
      </c>
    </row>
    <row r="202" spans="1:14" s="23" customFormat="1" ht="14" x14ac:dyDescent="0.3">
      <c r="A202" s="18">
        <f>ROW(A201)</f>
        <v>201</v>
      </c>
      <c r="B202" s="3" t="s">
        <v>12</v>
      </c>
      <c r="C202" s="6" t="s">
        <v>58</v>
      </c>
      <c r="D202" s="35" t="str">
        <f t="shared" si="7"/>
        <v/>
      </c>
      <c r="E202" s="5">
        <v>45565</v>
      </c>
      <c r="F202" s="6" t="s">
        <v>11</v>
      </c>
      <c r="G202" s="7">
        <v>5945205560</v>
      </c>
      <c r="H202" s="7">
        <v>5755275348</v>
      </c>
      <c r="I202" s="7">
        <f>OPERATORS[[#This Row],[Total Sales]]-OPERATORS[[#This Row],[Total Payouts]]</f>
        <v>189930212</v>
      </c>
      <c r="J202" s="7">
        <v>863291302</v>
      </c>
      <c r="K202" s="7">
        <v>40633567</v>
      </c>
      <c r="L202" s="8">
        <v>903924870</v>
      </c>
      <c r="N202" s="23" t="s">
        <v>24</v>
      </c>
    </row>
    <row r="203" spans="1:14" s="23" customFormat="1" ht="14" x14ac:dyDescent="0.3">
      <c r="A203" s="18">
        <v>332</v>
      </c>
      <c r="B203" s="3" t="s">
        <v>16</v>
      </c>
      <c r="C203" s="6" t="s">
        <v>58</v>
      </c>
      <c r="D203" s="35" t="str">
        <f t="shared" ref="D203:D234" si="8">IFERROR(VLOOKUP(C203,OPerators_Range,2,FALSE),"")</f>
        <v/>
      </c>
      <c r="E203" s="5">
        <v>45565</v>
      </c>
      <c r="F203" s="6" t="s">
        <v>11</v>
      </c>
      <c r="G203" s="7">
        <v>3673148320</v>
      </c>
      <c r="H203" s="7">
        <v>3500968870</v>
      </c>
      <c r="I203" s="7">
        <f>OPERATORS[[#This Row],[Total Sales]]-OPERATORS[[#This Row],[Total Payouts]]</f>
        <v>172179450</v>
      </c>
      <c r="J203" s="7">
        <v>0</v>
      </c>
      <c r="K203" s="7">
        <v>51653835</v>
      </c>
      <c r="L203" s="8">
        <v>51653835</v>
      </c>
    </row>
    <row r="204" spans="1:14" s="23" customFormat="1" ht="14" x14ac:dyDescent="0.3">
      <c r="A204" s="18">
        <f>ROW(A203)</f>
        <v>203</v>
      </c>
      <c r="B204" s="19" t="s">
        <v>12</v>
      </c>
      <c r="C204" s="20" t="s">
        <v>78</v>
      </c>
      <c r="D204" s="20" t="str">
        <f t="shared" si="8"/>
        <v/>
      </c>
      <c r="E204" s="5">
        <v>45596</v>
      </c>
      <c r="F204" s="20" t="s">
        <v>14</v>
      </c>
      <c r="G204" s="7">
        <v>177457650</v>
      </c>
      <c r="H204" s="7">
        <v>161353841</v>
      </c>
      <c r="I204" s="7">
        <f>OPERATORS[[#This Row],[Total Sales]]-OPERATORS[[#This Row],[Total Payouts]]</f>
        <v>16103809</v>
      </c>
      <c r="J204" s="7">
        <v>24203076</v>
      </c>
      <c r="K204" s="7">
        <v>5190460</v>
      </c>
      <c r="L204" s="8">
        <v>29393536</v>
      </c>
    </row>
    <row r="205" spans="1:14" s="23" customFormat="1" ht="14" x14ac:dyDescent="0.3">
      <c r="A205" s="18">
        <v>72</v>
      </c>
      <c r="B205" s="19" t="s">
        <v>3</v>
      </c>
      <c r="C205" s="20" t="s">
        <v>63</v>
      </c>
      <c r="D205" s="20" t="str">
        <f t="shared" si="8"/>
        <v/>
      </c>
      <c r="E205" s="5">
        <v>45596</v>
      </c>
      <c r="F205" s="20" t="s">
        <v>14</v>
      </c>
      <c r="G205" s="7">
        <v>616260000</v>
      </c>
      <c r="H205" s="7">
        <v>331576500</v>
      </c>
      <c r="I205" s="7">
        <f>OPERATORS[[#This Row],[Total Sales]]-OPERATORS[[#This Row],[Total Payouts]]</f>
        <v>284683500</v>
      </c>
      <c r="J205" s="7">
        <v>0</v>
      </c>
      <c r="K205" s="7">
        <v>91771800</v>
      </c>
      <c r="L205" s="8">
        <v>91771800</v>
      </c>
    </row>
    <row r="206" spans="1:14" s="23" customFormat="1" ht="14" x14ac:dyDescent="0.3">
      <c r="A206" s="18">
        <f>ROW(A205)</f>
        <v>205</v>
      </c>
      <c r="B206" s="19" t="s">
        <v>3</v>
      </c>
      <c r="C206" s="20" t="s">
        <v>53</v>
      </c>
      <c r="D206" s="20" t="str">
        <f t="shared" si="8"/>
        <v/>
      </c>
      <c r="E206" s="5">
        <v>45596</v>
      </c>
      <c r="F206" s="20" t="s">
        <v>14</v>
      </c>
      <c r="G206" s="7">
        <v>578790000</v>
      </c>
      <c r="H206" s="7">
        <v>507643500</v>
      </c>
      <c r="I206" s="7">
        <f>OPERATORS[[#This Row],[Total Sales]]-OPERATORS[[#This Row],[Total Payouts]]</f>
        <v>71146500</v>
      </c>
      <c r="J206" s="7">
        <v>0</v>
      </c>
      <c r="K206" s="7">
        <v>51442950</v>
      </c>
      <c r="L206" s="8">
        <v>51442950</v>
      </c>
    </row>
    <row r="207" spans="1:14" s="23" customFormat="1" ht="14" x14ac:dyDescent="0.3">
      <c r="A207" s="18">
        <v>73</v>
      </c>
      <c r="B207" s="19" t="s">
        <v>12</v>
      </c>
      <c r="C207" s="20" t="s">
        <v>50</v>
      </c>
      <c r="D207" s="20" t="str">
        <f t="shared" si="8"/>
        <v/>
      </c>
      <c r="E207" s="5">
        <v>45596</v>
      </c>
      <c r="F207" s="20" t="s">
        <v>14</v>
      </c>
      <c r="G207" s="7">
        <v>24169058</v>
      </c>
      <c r="H207" s="7">
        <v>5207286</v>
      </c>
      <c r="I207" s="7">
        <f>OPERATORS[[#This Row],[Total Sales]]-OPERATORS[[#This Row],[Total Payouts]]</f>
        <v>18961772</v>
      </c>
      <c r="J207" s="7">
        <v>781093</v>
      </c>
      <c r="K207" s="7">
        <v>3792354</v>
      </c>
      <c r="L207" s="8">
        <v>4573447</v>
      </c>
    </row>
    <row r="208" spans="1:14" s="23" customFormat="1" ht="14" x14ac:dyDescent="0.3">
      <c r="A208" s="18">
        <f>ROW(A207)</f>
        <v>207</v>
      </c>
      <c r="B208" s="19" t="s">
        <v>3</v>
      </c>
      <c r="C208" s="20" t="s">
        <v>61</v>
      </c>
      <c r="D208" s="20" t="str">
        <f t="shared" si="8"/>
        <v/>
      </c>
      <c r="E208" s="5">
        <v>45596</v>
      </c>
      <c r="F208" s="20" t="s">
        <v>14</v>
      </c>
      <c r="G208" s="7">
        <v>1528514340</v>
      </c>
      <c r="H208" s="7">
        <v>1414327480</v>
      </c>
      <c r="I208" s="7">
        <f>OPERATORS[[#This Row],[Total Sales]]-OPERATORS[[#This Row],[Total Payouts]]</f>
        <v>114186860</v>
      </c>
      <c r="J208" s="7">
        <v>0</v>
      </c>
      <c r="K208" s="7">
        <v>35010648</v>
      </c>
      <c r="L208" s="8">
        <v>35010648</v>
      </c>
    </row>
    <row r="209" spans="1:12" s="23" customFormat="1" ht="14" x14ac:dyDescent="0.3">
      <c r="A209" s="18">
        <v>74</v>
      </c>
      <c r="B209" s="19" t="s">
        <v>12</v>
      </c>
      <c r="C209" s="20" t="s">
        <v>37</v>
      </c>
      <c r="D209" s="20" t="str">
        <f t="shared" si="8"/>
        <v/>
      </c>
      <c r="E209" s="5">
        <v>45596</v>
      </c>
      <c r="F209" s="20" t="s">
        <v>14</v>
      </c>
      <c r="G209" s="7">
        <v>1428292382</v>
      </c>
      <c r="H209" s="7">
        <v>1208573098</v>
      </c>
      <c r="I209" s="7">
        <f>OPERATORS[[#This Row],[Total Sales]]-OPERATORS[[#This Row],[Total Payouts]]</f>
        <v>219719284</v>
      </c>
      <c r="J209" s="7">
        <v>181285965</v>
      </c>
      <c r="K209" s="7">
        <v>78405494</v>
      </c>
      <c r="L209" s="8">
        <v>259691459</v>
      </c>
    </row>
    <row r="210" spans="1:12" s="23" customFormat="1" ht="14" x14ac:dyDescent="0.3">
      <c r="A210" s="18">
        <f>ROW(A209)</f>
        <v>209</v>
      </c>
      <c r="B210" s="19" t="s">
        <v>3</v>
      </c>
      <c r="C210" s="20" t="s">
        <v>70</v>
      </c>
      <c r="D210" s="20" t="str">
        <f t="shared" si="8"/>
        <v/>
      </c>
      <c r="E210" s="5">
        <v>45596</v>
      </c>
      <c r="F210" s="20" t="s">
        <v>14</v>
      </c>
      <c r="G210" s="7">
        <v>927372464</v>
      </c>
      <c r="H210" s="7">
        <v>880619329</v>
      </c>
      <c r="I210" s="7">
        <f>OPERATORS[[#This Row],[Total Sales]]-OPERATORS[[#This Row],[Total Payouts]]</f>
        <v>46753135</v>
      </c>
      <c r="J210" s="7">
        <v>0</v>
      </c>
      <c r="K210" s="7">
        <v>14650659</v>
      </c>
      <c r="L210" s="8">
        <v>14650659</v>
      </c>
    </row>
    <row r="211" spans="1:12" s="23" customFormat="1" ht="14" x14ac:dyDescent="0.3">
      <c r="A211" s="18">
        <v>75</v>
      </c>
      <c r="B211" s="19" t="s">
        <v>12</v>
      </c>
      <c r="C211" s="20" t="s">
        <v>70</v>
      </c>
      <c r="D211" s="20" t="str">
        <f t="shared" si="8"/>
        <v/>
      </c>
      <c r="E211" s="5">
        <v>45596</v>
      </c>
      <c r="F211" s="20" t="s">
        <v>14</v>
      </c>
      <c r="G211" s="7">
        <v>1965342257</v>
      </c>
      <c r="H211" s="7">
        <v>1634988485</v>
      </c>
      <c r="I211" s="7">
        <f>OPERATORS[[#This Row],[Total Sales]]-OPERATORS[[#This Row],[Total Payouts]]</f>
        <v>330353772</v>
      </c>
      <c r="J211" s="7">
        <v>245248273</v>
      </c>
      <c r="K211" s="7">
        <v>81841338</v>
      </c>
      <c r="L211" s="8">
        <v>327089610</v>
      </c>
    </row>
    <row r="212" spans="1:12" s="23" customFormat="1" ht="14" x14ac:dyDescent="0.3">
      <c r="A212" s="18">
        <f>ROW(A211)</f>
        <v>211</v>
      </c>
      <c r="B212" s="19" t="s">
        <v>12</v>
      </c>
      <c r="C212" s="20" t="s">
        <v>61</v>
      </c>
      <c r="D212" s="20" t="str">
        <f t="shared" si="8"/>
        <v/>
      </c>
      <c r="E212" s="5">
        <v>45596</v>
      </c>
      <c r="F212" s="20" t="s">
        <v>14</v>
      </c>
      <c r="G212" s="7">
        <v>1008672000</v>
      </c>
      <c r="H212" s="7">
        <v>496765400</v>
      </c>
      <c r="I212" s="7">
        <f>OPERATORS[[#This Row],[Total Sales]]-OPERATORS[[#This Row],[Total Payouts]]</f>
        <v>511906600</v>
      </c>
      <c r="J212" s="7">
        <v>74514810</v>
      </c>
      <c r="K212" s="7">
        <v>102381320</v>
      </c>
      <c r="L212" s="8">
        <v>176896130</v>
      </c>
    </row>
    <row r="213" spans="1:12" s="23" customFormat="1" ht="14" x14ac:dyDescent="0.3">
      <c r="A213" s="18">
        <v>76</v>
      </c>
      <c r="B213" s="19" t="s">
        <v>16</v>
      </c>
      <c r="C213" s="20" t="s">
        <v>61</v>
      </c>
      <c r="D213" s="20" t="str">
        <f t="shared" si="8"/>
        <v/>
      </c>
      <c r="E213" s="5">
        <v>45596</v>
      </c>
      <c r="F213" s="20" t="s">
        <v>14</v>
      </c>
      <c r="G213" s="7">
        <v>605898000</v>
      </c>
      <c r="H213" s="7">
        <v>493294000</v>
      </c>
      <c r="I213" s="7">
        <f>OPERATORS[[#This Row],[Total Sales]]-OPERATORS[[#This Row],[Total Payouts]]</f>
        <v>112604000</v>
      </c>
      <c r="J213" s="7">
        <v>0</v>
      </c>
      <c r="K213" s="7">
        <v>147988200</v>
      </c>
      <c r="L213" s="8">
        <v>147988200</v>
      </c>
    </row>
    <row r="214" spans="1:12" s="23" customFormat="1" ht="14" x14ac:dyDescent="0.3">
      <c r="A214" s="18">
        <f>ROW(A213)</f>
        <v>213</v>
      </c>
      <c r="B214" s="19" t="s">
        <v>3</v>
      </c>
      <c r="C214" s="20" t="s">
        <v>76</v>
      </c>
      <c r="D214" s="20" t="str">
        <f t="shared" si="8"/>
        <v/>
      </c>
      <c r="E214" s="5">
        <v>45596</v>
      </c>
      <c r="F214" s="20" t="s">
        <v>14</v>
      </c>
      <c r="G214" s="7">
        <v>3895000</v>
      </c>
      <c r="H214" s="7">
        <v>0</v>
      </c>
      <c r="I214" s="7">
        <f>OPERATORS[[#This Row],[Total Sales]]-OPERATORS[[#This Row],[Total Payouts]]</f>
        <v>3895000</v>
      </c>
      <c r="J214" s="7">
        <v>0</v>
      </c>
      <c r="K214" s="7">
        <v>1168500</v>
      </c>
      <c r="L214" s="8">
        <v>1168500</v>
      </c>
    </row>
    <row r="215" spans="1:12" s="23" customFormat="1" ht="14" x14ac:dyDescent="0.3">
      <c r="A215" s="18">
        <v>77</v>
      </c>
      <c r="B215" s="19" t="s">
        <v>3</v>
      </c>
      <c r="C215" s="20" t="s">
        <v>48</v>
      </c>
      <c r="D215" s="20" t="str">
        <f t="shared" si="8"/>
        <v/>
      </c>
      <c r="E215" s="5">
        <v>45596</v>
      </c>
      <c r="F215" s="20" t="s">
        <v>14</v>
      </c>
      <c r="G215" s="7">
        <v>1182452600</v>
      </c>
      <c r="H215" s="7">
        <v>53981500</v>
      </c>
      <c r="I215" s="7">
        <f>OPERATORS[[#This Row],[Total Sales]]-OPERATORS[[#This Row],[Total Payouts]]</f>
        <v>1128471100</v>
      </c>
      <c r="J215" s="7">
        <v>0</v>
      </c>
      <c r="K215" s="7">
        <v>354735780</v>
      </c>
      <c r="L215" s="8">
        <v>354735780</v>
      </c>
    </row>
    <row r="216" spans="1:12" s="23" customFormat="1" ht="14" x14ac:dyDescent="0.3">
      <c r="A216" s="18">
        <f>ROW(A215)</f>
        <v>215</v>
      </c>
      <c r="B216" s="19" t="s">
        <v>16</v>
      </c>
      <c r="C216" s="20" t="s">
        <v>46</v>
      </c>
      <c r="D216" s="20" t="str">
        <f t="shared" si="8"/>
        <v/>
      </c>
      <c r="E216" s="5">
        <v>45596</v>
      </c>
      <c r="F216" s="20" t="s">
        <v>14</v>
      </c>
      <c r="G216" s="7">
        <v>1915199617</v>
      </c>
      <c r="H216" s="7">
        <v>1682745660</v>
      </c>
      <c r="I216" s="7">
        <f>OPERATORS[[#This Row],[Total Sales]]-OPERATORS[[#This Row],[Total Payouts]]</f>
        <v>232453957</v>
      </c>
      <c r="J216" s="7">
        <v>0</v>
      </c>
      <c r="K216" s="7">
        <v>69736187</v>
      </c>
      <c r="L216" s="8">
        <v>69736187</v>
      </c>
    </row>
    <row r="217" spans="1:12" s="23" customFormat="1" ht="14" x14ac:dyDescent="0.3">
      <c r="A217" s="18">
        <v>78</v>
      </c>
      <c r="B217" s="19" t="s">
        <v>12</v>
      </c>
      <c r="C217" s="20" t="s">
        <v>46</v>
      </c>
      <c r="D217" s="20" t="str">
        <f t="shared" si="8"/>
        <v/>
      </c>
      <c r="E217" s="5">
        <v>45596</v>
      </c>
      <c r="F217" s="20" t="s">
        <v>14</v>
      </c>
      <c r="G217" s="7">
        <v>279714179</v>
      </c>
      <c r="H217" s="7">
        <v>174244915</v>
      </c>
      <c r="I217" s="7">
        <f>OPERATORS[[#This Row],[Total Sales]]-OPERATORS[[#This Row],[Total Payouts]]</f>
        <v>105469264</v>
      </c>
      <c r="J217" s="7">
        <v>26136737</v>
      </c>
      <c r="K217" s="7">
        <v>23660524</v>
      </c>
      <c r="L217" s="8">
        <v>49797262</v>
      </c>
    </row>
    <row r="218" spans="1:12" s="23" customFormat="1" ht="14" x14ac:dyDescent="0.3">
      <c r="A218" s="18">
        <f>ROW(A217)</f>
        <v>217</v>
      </c>
      <c r="B218" s="19" t="s">
        <v>12</v>
      </c>
      <c r="C218" s="20" t="s">
        <v>44</v>
      </c>
      <c r="D218" s="20" t="str">
        <f t="shared" si="8"/>
        <v/>
      </c>
      <c r="E218" s="5">
        <v>45596</v>
      </c>
      <c r="F218" s="20" t="s">
        <v>14</v>
      </c>
      <c r="G218" s="7">
        <v>0</v>
      </c>
      <c r="H218" s="7">
        <v>0</v>
      </c>
      <c r="I218" s="7">
        <f>OPERATORS[[#This Row],[Total Sales]]-OPERATORS[[#This Row],[Total Payouts]]</f>
        <v>0</v>
      </c>
      <c r="J218" s="7">
        <v>0</v>
      </c>
      <c r="K218" s="7">
        <v>0</v>
      </c>
      <c r="L218" s="8">
        <v>0</v>
      </c>
    </row>
    <row r="219" spans="1:12" s="23" customFormat="1" ht="14" x14ac:dyDescent="0.3">
      <c r="A219" s="18">
        <v>79</v>
      </c>
      <c r="B219" s="19" t="s">
        <v>3</v>
      </c>
      <c r="C219" s="20" t="s">
        <v>44</v>
      </c>
      <c r="D219" s="20" t="str">
        <f t="shared" si="8"/>
        <v/>
      </c>
      <c r="E219" s="5">
        <v>45596</v>
      </c>
      <c r="F219" s="20" t="s">
        <v>14</v>
      </c>
      <c r="G219" s="7">
        <v>27120215</v>
      </c>
      <c r="H219" s="7">
        <v>23083360</v>
      </c>
      <c r="I219" s="7">
        <f>OPERATORS[[#This Row],[Total Sales]]-OPERATORS[[#This Row],[Total Payouts]]</f>
        <v>4036855</v>
      </c>
      <c r="J219" s="7">
        <v>0</v>
      </c>
      <c r="K219" s="7">
        <v>1260697</v>
      </c>
      <c r="L219" s="8">
        <v>1260697</v>
      </c>
    </row>
    <row r="220" spans="1:12" s="23" customFormat="1" ht="14" x14ac:dyDescent="0.3">
      <c r="A220" s="18">
        <f>ROW(A219)</f>
        <v>219</v>
      </c>
      <c r="B220" s="19" t="s">
        <v>16</v>
      </c>
      <c r="C220" s="20" t="s">
        <v>39</v>
      </c>
      <c r="D220" s="20" t="str">
        <f t="shared" si="8"/>
        <v/>
      </c>
      <c r="E220" s="5">
        <v>45596</v>
      </c>
      <c r="F220" s="20" t="s">
        <v>14</v>
      </c>
      <c r="G220" s="7">
        <v>0</v>
      </c>
      <c r="H220" s="7">
        <v>0</v>
      </c>
      <c r="I220" s="7">
        <f>OPERATORS[[#This Row],[Total Sales]]-OPERATORS[[#This Row],[Total Payouts]]</f>
        <v>0</v>
      </c>
      <c r="J220" s="7">
        <v>0</v>
      </c>
      <c r="K220" s="7">
        <v>0</v>
      </c>
      <c r="L220" s="8">
        <v>0</v>
      </c>
    </row>
    <row r="221" spans="1:12" s="23" customFormat="1" ht="14" x14ac:dyDescent="0.3">
      <c r="A221" s="18">
        <v>80</v>
      </c>
      <c r="B221" s="19" t="s">
        <v>12</v>
      </c>
      <c r="C221" s="20" t="s">
        <v>65</v>
      </c>
      <c r="D221" s="20" t="str">
        <f t="shared" si="8"/>
        <v/>
      </c>
      <c r="E221" s="5">
        <v>45596</v>
      </c>
      <c r="F221" s="20" t="s">
        <v>14</v>
      </c>
      <c r="G221" s="7">
        <v>0</v>
      </c>
      <c r="H221" s="7">
        <v>0</v>
      </c>
      <c r="I221" s="7">
        <f>OPERATORS[[#This Row],[Total Sales]]-OPERATORS[[#This Row],[Total Payouts]]</f>
        <v>0</v>
      </c>
      <c r="J221" s="7">
        <v>0</v>
      </c>
      <c r="K221" s="7">
        <v>0</v>
      </c>
      <c r="L221" s="8">
        <v>0</v>
      </c>
    </row>
    <row r="222" spans="1:12" s="23" customFormat="1" ht="14" x14ac:dyDescent="0.3">
      <c r="A222" s="18">
        <f>ROW(A221)</f>
        <v>221</v>
      </c>
      <c r="B222" s="19" t="s">
        <v>3</v>
      </c>
      <c r="C222" s="20" t="s">
        <v>65</v>
      </c>
      <c r="D222" s="20" t="str">
        <f t="shared" si="8"/>
        <v/>
      </c>
      <c r="E222" s="5">
        <v>45596</v>
      </c>
      <c r="F222" s="20" t="s">
        <v>14</v>
      </c>
      <c r="G222" s="7">
        <v>0</v>
      </c>
      <c r="H222" s="7">
        <v>0</v>
      </c>
      <c r="I222" s="7">
        <f>OPERATORS[[#This Row],[Total Sales]]-OPERATORS[[#This Row],[Total Payouts]]</f>
        <v>0</v>
      </c>
      <c r="J222" s="7">
        <v>0</v>
      </c>
      <c r="K222" s="7">
        <v>0</v>
      </c>
      <c r="L222" s="8">
        <v>0</v>
      </c>
    </row>
    <row r="223" spans="1:12" s="23" customFormat="1" ht="14" x14ac:dyDescent="0.3">
      <c r="A223" s="18">
        <v>81</v>
      </c>
      <c r="B223" s="19" t="s">
        <v>12</v>
      </c>
      <c r="C223" s="20" t="s">
        <v>73</v>
      </c>
      <c r="D223" s="20" t="str">
        <f t="shared" si="8"/>
        <v/>
      </c>
      <c r="E223" s="5">
        <v>45596</v>
      </c>
      <c r="F223" s="20" t="s">
        <v>14</v>
      </c>
      <c r="G223" s="7">
        <v>0</v>
      </c>
      <c r="H223" s="7">
        <v>0</v>
      </c>
      <c r="I223" s="7">
        <f>OPERATORS[[#This Row],[Total Sales]]-OPERATORS[[#This Row],[Total Payouts]]</f>
        <v>0</v>
      </c>
      <c r="J223" s="7">
        <v>0</v>
      </c>
      <c r="K223" s="7">
        <v>0</v>
      </c>
      <c r="L223" s="8">
        <v>0</v>
      </c>
    </row>
    <row r="224" spans="1:12" s="23" customFormat="1" ht="14" x14ac:dyDescent="0.3">
      <c r="A224" s="18">
        <f>ROW(A223)</f>
        <v>223</v>
      </c>
      <c r="B224" s="19" t="s">
        <v>3</v>
      </c>
      <c r="C224" s="20" t="s">
        <v>73</v>
      </c>
      <c r="D224" s="20" t="str">
        <f t="shared" si="8"/>
        <v/>
      </c>
      <c r="E224" s="5">
        <v>45596</v>
      </c>
      <c r="F224" s="20" t="s">
        <v>14</v>
      </c>
      <c r="G224" s="7">
        <v>0</v>
      </c>
      <c r="H224" s="7">
        <v>0</v>
      </c>
      <c r="I224" s="7">
        <f>OPERATORS[[#This Row],[Total Sales]]-OPERATORS[[#This Row],[Total Payouts]]</f>
        <v>0</v>
      </c>
      <c r="J224" s="7">
        <v>0</v>
      </c>
      <c r="K224" s="7">
        <v>0</v>
      </c>
      <c r="L224" s="8">
        <v>0</v>
      </c>
    </row>
    <row r="225" spans="1:13" s="23" customFormat="1" ht="14" x14ac:dyDescent="0.3">
      <c r="A225" s="18">
        <f>ROW(A224)</f>
        <v>224</v>
      </c>
      <c r="B225" s="19" t="s">
        <v>12</v>
      </c>
      <c r="C225" s="20" t="s">
        <v>74</v>
      </c>
      <c r="D225" s="20" t="str">
        <f t="shared" si="8"/>
        <v/>
      </c>
      <c r="E225" s="5">
        <v>45596</v>
      </c>
      <c r="F225" s="20" t="s">
        <v>14</v>
      </c>
      <c r="G225" s="7">
        <v>93689400</v>
      </c>
      <c r="H225" s="7">
        <v>56402220</v>
      </c>
      <c r="I225" s="7">
        <f>OPERATORS[[#This Row],[Total Sales]]-OPERATORS[[#This Row],[Total Payouts]]</f>
        <v>37287180</v>
      </c>
      <c r="J225" s="7">
        <v>8460333</v>
      </c>
      <c r="K225" s="7">
        <v>8536116</v>
      </c>
      <c r="L225" s="8">
        <v>16996449</v>
      </c>
    </row>
    <row r="226" spans="1:13" s="23" customFormat="1" ht="14" x14ac:dyDescent="0.3">
      <c r="A226" s="18">
        <v>85</v>
      </c>
      <c r="B226" s="19" t="s">
        <v>3</v>
      </c>
      <c r="C226" s="20" t="s">
        <v>51</v>
      </c>
      <c r="D226" s="20" t="str">
        <f t="shared" si="8"/>
        <v/>
      </c>
      <c r="E226" s="5">
        <v>45596</v>
      </c>
      <c r="F226" s="20" t="s">
        <v>14</v>
      </c>
      <c r="G226" s="7">
        <v>631977982</v>
      </c>
      <c r="H226" s="7">
        <v>42719497</v>
      </c>
      <c r="I226" s="7">
        <f>OPERATORS[[#This Row],[Total Sales]]-OPERATORS[[#This Row],[Total Payouts]]</f>
        <v>589258485</v>
      </c>
      <c r="J226" s="7">
        <v>0</v>
      </c>
      <c r="K226" s="7">
        <v>189593395</v>
      </c>
      <c r="L226" s="8">
        <v>189593395</v>
      </c>
      <c r="M226" s="26"/>
    </row>
    <row r="227" spans="1:13" s="23" customFormat="1" ht="14" x14ac:dyDescent="0.3">
      <c r="A227" s="18">
        <f>ROW(A226)</f>
        <v>226</v>
      </c>
      <c r="B227" s="19" t="s">
        <v>16</v>
      </c>
      <c r="C227" s="20" t="s">
        <v>38</v>
      </c>
      <c r="D227" s="20" t="str">
        <f t="shared" si="8"/>
        <v/>
      </c>
      <c r="E227" s="5">
        <v>45596</v>
      </c>
      <c r="F227" s="20" t="s">
        <v>14</v>
      </c>
      <c r="G227" s="7">
        <v>164971999</v>
      </c>
      <c r="H227" s="7">
        <v>125587038</v>
      </c>
      <c r="I227" s="7">
        <f>OPERATORS[[#This Row],[Total Sales]]-OPERATORS[[#This Row],[Total Payouts]]</f>
        <v>39384961</v>
      </c>
      <c r="J227" s="7">
        <v>0</v>
      </c>
      <c r="K227" s="7">
        <v>11815488</v>
      </c>
      <c r="L227" s="8">
        <v>11815488</v>
      </c>
      <c r="M227" s="26"/>
    </row>
    <row r="228" spans="1:13" s="23" customFormat="1" ht="14" x14ac:dyDescent="0.3">
      <c r="A228" s="18">
        <v>86</v>
      </c>
      <c r="B228" s="19" t="s">
        <v>17</v>
      </c>
      <c r="C228" s="20" t="s">
        <v>34</v>
      </c>
      <c r="D228" s="20" t="str">
        <f t="shared" si="8"/>
        <v/>
      </c>
      <c r="E228" s="5">
        <v>45596</v>
      </c>
      <c r="F228" s="20" t="s">
        <v>14</v>
      </c>
      <c r="G228" s="7">
        <v>799862000</v>
      </c>
      <c r="H228" s="7">
        <v>743000000</v>
      </c>
      <c r="I228" s="7">
        <f>OPERATORS[[#This Row],[Total Sales]]-OPERATORS[[#This Row],[Total Payouts]]</f>
        <v>56862000</v>
      </c>
      <c r="J228" s="7">
        <v>0</v>
      </c>
      <c r="K228" s="7">
        <v>17058600</v>
      </c>
      <c r="L228" s="8">
        <v>17058600</v>
      </c>
    </row>
    <row r="229" spans="1:13" s="23" customFormat="1" ht="14" x14ac:dyDescent="0.3">
      <c r="A229" s="18">
        <v>88</v>
      </c>
      <c r="B229" s="19" t="s">
        <v>3</v>
      </c>
      <c r="C229" s="20" t="s">
        <v>52</v>
      </c>
      <c r="D229" s="20" t="str">
        <f t="shared" si="8"/>
        <v/>
      </c>
      <c r="E229" s="5">
        <v>45596</v>
      </c>
      <c r="F229" s="20" t="s">
        <v>14</v>
      </c>
      <c r="G229" s="7">
        <v>70680000</v>
      </c>
      <c r="H229" s="7">
        <v>16015000</v>
      </c>
      <c r="I229" s="7">
        <f>OPERATORS[[#This Row],[Total Sales]]-OPERATORS[[#This Row],[Total Payouts]]</f>
        <v>54665000</v>
      </c>
      <c r="J229" s="7">
        <v>0</v>
      </c>
      <c r="K229" s="7">
        <v>16399500</v>
      </c>
      <c r="L229" s="8">
        <v>16399500</v>
      </c>
    </row>
    <row r="230" spans="1:13" s="23" customFormat="1" ht="14" x14ac:dyDescent="0.3">
      <c r="A230" s="18">
        <f>ROW(A229)</f>
        <v>229</v>
      </c>
      <c r="B230" s="19" t="s">
        <v>16</v>
      </c>
      <c r="C230" s="20" t="s">
        <v>36</v>
      </c>
      <c r="D230" s="20" t="str">
        <f t="shared" si="8"/>
        <v/>
      </c>
      <c r="E230" s="5">
        <v>45596</v>
      </c>
      <c r="F230" s="20" t="s">
        <v>14</v>
      </c>
      <c r="G230" s="7">
        <v>184398130</v>
      </c>
      <c r="H230" s="7">
        <v>157174365</v>
      </c>
      <c r="I230" s="7">
        <f>OPERATORS[[#This Row],[Total Sales]]-OPERATORS[[#This Row],[Total Payouts]]</f>
        <v>27223765</v>
      </c>
      <c r="J230" s="7">
        <v>0</v>
      </c>
      <c r="K230" s="7">
        <v>8167130</v>
      </c>
      <c r="L230" s="8">
        <v>8167130</v>
      </c>
    </row>
    <row r="231" spans="1:13" s="23" customFormat="1" ht="14" x14ac:dyDescent="0.3">
      <c r="A231" s="18">
        <v>89</v>
      </c>
      <c r="B231" s="19" t="s">
        <v>12</v>
      </c>
      <c r="C231" s="20" t="s">
        <v>36</v>
      </c>
      <c r="D231" s="20" t="str">
        <f t="shared" si="8"/>
        <v/>
      </c>
      <c r="E231" s="5">
        <v>45596</v>
      </c>
      <c r="F231" s="20" t="s">
        <v>14</v>
      </c>
      <c r="G231" s="7">
        <v>41674826</v>
      </c>
      <c r="H231" s="7">
        <v>37160259</v>
      </c>
      <c r="I231" s="7">
        <f>OPERATORS[[#This Row],[Total Sales]]-OPERATORS[[#This Row],[Total Payouts]]</f>
        <v>4514567</v>
      </c>
      <c r="J231" s="7">
        <v>5574039</v>
      </c>
      <c r="K231" s="7">
        <v>2132101</v>
      </c>
      <c r="L231" s="8">
        <v>7706140</v>
      </c>
    </row>
    <row r="232" spans="1:13" s="23" customFormat="1" ht="14" x14ac:dyDescent="0.3">
      <c r="A232" s="18">
        <f>ROW(A231)</f>
        <v>231</v>
      </c>
      <c r="B232" s="19" t="s">
        <v>3</v>
      </c>
      <c r="C232" s="20" t="s">
        <v>32</v>
      </c>
      <c r="D232" s="20" t="str">
        <f t="shared" si="8"/>
        <v/>
      </c>
      <c r="E232" s="5">
        <v>45596</v>
      </c>
      <c r="F232" s="20" t="s">
        <v>14</v>
      </c>
      <c r="G232" s="7">
        <v>117267726</v>
      </c>
      <c r="H232" s="7">
        <v>76783256</v>
      </c>
      <c r="I232" s="7">
        <f>OPERATORS[[#This Row],[Total Sales]]-OPERATORS[[#This Row],[Total Payouts]]</f>
        <v>40484470</v>
      </c>
      <c r="J232" s="7">
        <v>0</v>
      </c>
      <c r="K232" s="7">
        <v>15935399</v>
      </c>
      <c r="L232" s="8">
        <v>15935399</v>
      </c>
    </row>
    <row r="233" spans="1:13" s="23" customFormat="1" ht="14" x14ac:dyDescent="0.3">
      <c r="A233" s="18">
        <v>90</v>
      </c>
      <c r="B233" s="19" t="s">
        <v>12</v>
      </c>
      <c r="C233" s="20" t="s">
        <v>32</v>
      </c>
      <c r="D233" s="20" t="str">
        <f t="shared" si="8"/>
        <v/>
      </c>
      <c r="E233" s="5">
        <v>45596</v>
      </c>
      <c r="F233" s="20" t="s">
        <v>14</v>
      </c>
      <c r="G233" s="7">
        <v>485176887</v>
      </c>
      <c r="H233" s="7">
        <v>352370091</v>
      </c>
      <c r="I233" s="7">
        <f>OPERATORS[[#This Row],[Total Sales]]-OPERATORS[[#This Row],[Total Payouts]]</f>
        <v>132806796</v>
      </c>
      <c r="J233" s="7">
        <v>52855514</v>
      </c>
      <c r="K233" s="7">
        <v>27044103</v>
      </c>
      <c r="L233" s="8">
        <v>79899617</v>
      </c>
    </row>
    <row r="234" spans="1:13" s="23" customFormat="1" ht="14" x14ac:dyDescent="0.3">
      <c r="A234" s="18">
        <f>ROW(A233)</f>
        <v>233</v>
      </c>
      <c r="B234" s="19" t="s">
        <v>16</v>
      </c>
      <c r="C234" s="20" t="s">
        <v>77</v>
      </c>
      <c r="D234" s="20" t="str">
        <f t="shared" si="8"/>
        <v/>
      </c>
      <c r="E234" s="5">
        <v>45596</v>
      </c>
      <c r="F234" s="20" t="s">
        <v>14</v>
      </c>
      <c r="G234" s="7">
        <v>632675900</v>
      </c>
      <c r="H234" s="7">
        <v>533280170</v>
      </c>
      <c r="I234" s="7">
        <f>OPERATORS[[#This Row],[Total Sales]]-OPERATORS[[#This Row],[Total Payouts]]</f>
        <v>99395730</v>
      </c>
      <c r="J234" s="7">
        <v>0</v>
      </c>
      <c r="K234" s="7">
        <v>31659678</v>
      </c>
      <c r="L234" s="8">
        <v>31659678</v>
      </c>
    </row>
    <row r="235" spans="1:13" s="23" customFormat="1" ht="14" x14ac:dyDescent="0.3">
      <c r="A235" s="18">
        <v>91</v>
      </c>
      <c r="B235" s="19" t="s">
        <v>12</v>
      </c>
      <c r="C235" s="20" t="s">
        <v>45</v>
      </c>
      <c r="D235" s="20" t="str">
        <f t="shared" ref="D235:D254" si="9">IFERROR(VLOOKUP(C235,OPerators_Range,2,FALSE),"")</f>
        <v/>
      </c>
      <c r="E235" s="5">
        <v>45596</v>
      </c>
      <c r="F235" s="20" t="s">
        <v>14</v>
      </c>
      <c r="G235" s="7">
        <v>4506208690</v>
      </c>
      <c r="H235" s="7">
        <v>3030828873</v>
      </c>
      <c r="I235" s="7">
        <f>OPERATORS[[#This Row],[Total Sales]]-OPERATORS[[#This Row],[Total Payouts]]</f>
        <v>1475379817</v>
      </c>
      <c r="J235" s="7">
        <v>454624331</v>
      </c>
      <c r="K235" s="7">
        <v>295130800</v>
      </c>
      <c r="L235" s="8">
        <v>749755131</v>
      </c>
    </row>
    <row r="236" spans="1:13" s="23" customFormat="1" ht="14" x14ac:dyDescent="0.3">
      <c r="A236" s="18">
        <f>ROW(A235)</f>
        <v>235</v>
      </c>
      <c r="B236" s="19" t="s">
        <v>16</v>
      </c>
      <c r="C236" s="20" t="s">
        <v>45</v>
      </c>
      <c r="D236" s="20" t="str">
        <f t="shared" si="9"/>
        <v/>
      </c>
      <c r="E236" s="5">
        <v>45596</v>
      </c>
      <c r="F236" s="20" t="s">
        <v>14</v>
      </c>
      <c r="G236" s="7">
        <v>3806219017</v>
      </c>
      <c r="H236" s="7">
        <v>2770878553</v>
      </c>
      <c r="I236" s="7">
        <f>OPERATORS[[#This Row],[Total Sales]]-OPERATORS[[#This Row],[Total Payouts]]</f>
        <v>1035340464</v>
      </c>
      <c r="J236" s="7">
        <v>0</v>
      </c>
      <c r="K236" s="7">
        <v>310602139</v>
      </c>
      <c r="L236" s="8">
        <v>310602139</v>
      </c>
    </row>
    <row r="237" spans="1:13" s="23" customFormat="1" ht="14" x14ac:dyDescent="0.3">
      <c r="A237" s="18">
        <v>92</v>
      </c>
      <c r="B237" s="19" t="s">
        <v>17</v>
      </c>
      <c r="C237" s="20" t="s">
        <v>62</v>
      </c>
      <c r="D237" s="20" t="str">
        <f t="shared" si="9"/>
        <v/>
      </c>
      <c r="E237" s="5">
        <v>45596</v>
      </c>
      <c r="F237" s="20" t="s">
        <v>14</v>
      </c>
      <c r="G237" s="7">
        <v>0</v>
      </c>
      <c r="H237" s="7">
        <v>0</v>
      </c>
      <c r="I237" s="7">
        <f>OPERATORS[[#This Row],[Total Sales]]-OPERATORS[[#This Row],[Total Payouts]]</f>
        <v>0</v>
      </c>
      <c r="J237" s="7">
        <v>0</v>
      </c>
      <c r="K237" s="7"/>
      <c r="L237" s="8">
        <v>0</v>
      </c>
    </row>
    <row r="238" spans="1:13" s="23" customFormat="1" ht="14" x14ac:dyDescent="0.3">
      <c r="A238" s="18">
        <f>ROW(A237)</f>
        <v>237</v>
      </c>
      <c r="B238" s="19" t="s">
        <v>16</v>
      </c>
      <c r="C238" s="20" t="s">
        <v>69</v>
      </c>
      <c r="D238" s="20" t="str">
        <f t="shared" si="9"/>
        <v/>
      </c>
      <c r="E238" s="5">
        <v>45596</v>
      </c>
      <c r="F238" s="20" t="s">
        <v>14</v>
      </c>
      <c r="G238" s="7">
        <v>616468600</v>
      </c>
      <c r="H238" s="7">
        <v>511502677</v>
      </c>
      <c r="I238" s="7">
        <f>OPERATORS[[#This Row],[Total Sales]]-OPERATORS[[#This Row],[Total Payouts]]</f>
        <v>104965923</v>
      </c>
      <c r="J238" s="7">
        <v>0</v>
      </c>
      <c r="K238" s="7">
        <v>31489777</v>
      </c>
      <c r="L238" s="8">
        <v>31489777</v>
      </c>
    </row>
    <row r="239" spans="1:13" s="23" customFormat="1" ht="14" x14ac:dyDescent="0.3">
      <c r="A239" s="18">
        <f>ROW(A238)</f>
        <v>238</v>
      </c>
      <c r="B239" s="19" t="s">
        <v>16</v>
      </c>
      <c r="C239" s="20" t="s">
        <v>59</v>
      </c>
      <c r="D239" s="20" t="str">
        <f t="shared" si="9"/>
        <v/>
      </c>
      <c r="E239" s="5">
        <v>45596</v>
      </c>
      <c r="F239" s="20" t="s">
        <v>14</v>
      </c>
      <c r="G239" s="7">
        <v>43078200</v>
      </c>
      <c r="H239" s="7">
        <v>35327178</v>
      </c>
      <c r="I239" s="7">
        <f>OPERATORS[[#This Row],[Total Sales]]-OPERATORS[[#This Row],[Total Payouts]]</f>
        <v>7751022</v>
      </c>
      <c r="J239" s="7">
        <v>0</v>
      </c>
      <c r="K239" s="7">
        <v>2325307</v>
      </c>
      <c r="L239" s="8">
        <v>2325307</v>
      </c>
    </row>
    <row r="240" spans="1:13" s="23" customFormat="1" ht="14" x14ac:dyDescent="0.3">
      <c r="A240" s="18">
        <v>95</v>
      </c>
      <c r="B240" s="19" t="s">
        <v>12</v>
      </c>
      <c r="C240" s="20" t="s">
        <v>67</v>
      </c>
      <c r="D240" s="20" t="str">
        <f t="shared" si="9"/>
        <v/>
      </c>
      <c r="E240" s="5">
        <v>45596</v>
      </c>
      <c r="F240" s="20" t="s">
        <v>14</v>
      </c>
      <c r="G240" s="7">
        <v>644839514</v>
      </c>
      <c r="H240" s="7">
        <v>296508981</v>
      </c>
      <c r="I240" s="7">
        <f>OPERATORS[[#This Row],[Total Sales]]-OPERATORS[[#This Row],[Total Payouts]]</f>
        <v>348330533</v>
      </c>
      <c r="J240" s="7">
        <v>44476347</v>
      </c>
      <c r="K240" s="7">
        <v>69666107</v>
      </c>
      <c r="L240" s="8">
        <v>114142454</v>
      </c>
    </row>
    <row r="241" spans="1:12" s="23" customFormat="1" ht="14" x14ac:dyDescent="0.3">
      <c r="A241" s="18">
        <v>96</v>
      </c>
      <c r="B241" s="19" t="s">
        <v>12</v>
      </c>
      <c r="C241" s="20" t="s">
        <v>41</v>
      </c>
      <c r="D241" s="20" t="str">
        <f t="shared" si="9"/>
        <v/>
      </c>
      <c r="E241" s="5">
        <v>45596</v>
      </c>
      <c r="F241" s="20" t="s">
        <v>14</v>
      </c>
      <c r="G241" s="7">
        <v>284735619123</v>
      </c>
      <c r="H241" s="7">
        <v>271194293253</v>
      </c>
      <c r="I241" s="7">
        <f>OPERATORS[[#This Row],[Total Sales]]-OPERATORS[[#This Row],[Total Payouts]]</f>
        <v>13541325870</v>
      </c>
      <c r="J241" s="7">
        <v>40679143988</v>
      </c>
      <c r="K241" s="7">
        <v>4201156134</v>
      </c>
      <c r="L241" s="8">
        <v>44880300122</v>
      </c>
    </row>
    <row r="242" spans="1:12" s="23" customFormat="1" ht="14" x14ac:dyDescent="0.3">
      <c r="A242" s="18">
        <f>ROW(A241)</f>
        <v>241</v>
      </c>
      <c r="B242" s="19" t="s">
        <v>3</v>
      </c>
      <c r="C242" s="20" t="s">
        <v>41</v>
      </c>
      <c r="D242" s="20" t="str">
        <f t="shared" si="9"/>
        <v/>
      </c>
      <c r="E242" s="5">
        <v>45596</v>
      </c>
      <c r="F242" s="20" t="s">
        <v>14</v>
      </c>
      <c r="G242" s="7">
        <v>279145953910</v>
      </c>
      <c r="H242" s="7">
        <v>269058722179</v>
      </c>
      <c r="I242" s="7">
        <f>OPERATORS[[#This Row],[Total Sales]]-OPERATORS[[#This Row],[Total Payouts]]</f>
        <v>10087231731</v>
      </c>
      <c r="J242" s="7">
        <v>0</v>
      </c>
      <c r="K242" s="7">
        <v>3080542791</v>
      </c>
      <c r="L242" s="8">
        <v>3080542791</v>
      </c>
    </row>
    <row r="243" spans="1:12" s="23" customFormat="1" ht="14" x14ac:dyDescent="0.3">
      <c r="A243" s="18">
        <v>97</v>
      </c>
      <c r="B243" s="19" t="s">
        <v>16</v>
      </c>
      <c r="C243" s="20" t="s">
        <v>60</v>
      </c>
      <c r="D243" s="20" t="str">
        <f t="shared" si="9"/>
        <v/>
      </c>
      <c r="E243" s="5">
        <v>45596</v>
      </c>
      <c r="F243" s="20" t="s">
        <v>14</v>
      </c>
      <c r="G243" s="7">
        <v>26945584650</v>
      </c>
      <c r="H243" s="7">
        <v>25365920002</v>
      </c>
      <c r="I243" s="7">
        <f>OPERATORS[[#This Row],[Total Sales]]-OPERATORS[[#This Row],[Total Payouts]]</f>
        <v>1579664648</v>
      </c>
      <c r="J243" s="7">
        <v>0</v>
      </c>
      <c r="K243" s="7">
        <v>474031547</v>
      </c>
      <c r="L243" s="8">
        <v>474031547</v>
      </c>
    </row>
    <row r="244" spans="1:12" s="23" customFormat="1" ht="14" x14ac:dyDescent="0.3">
      <c r="A244" s="18">
        <f>ROW(A243)</f>
        <v>243</v>
      </c>
      <c r="B244" s="19" t="s">
        <v>12</v>
      </c>
      <c r="C244" s="20" t="s">
        <v>60</v>
      </c>
      <c r="D244" s="20" t="str">
        <f t="shared" si="9"/>
        <v/>
      </c>
      <c r="E244" s="5">
        <v>45596</v>
      </c>
      <c r="F244" s="20" t="s">
        <v>14</v>
      </c>
      <c r="G244" s="7">
        <v>6926591725</v>
      </c>
      <c r="H244" s="7">
        <v>5484549356</v>
      </c>
      <c r="I244" s="7">
        <f>OPERATORS[[#This Row],[Total Sales]]-OPERATORS[[#This Row],[Total Payouts]]</f>
        <v>1442042369</v>
      </c>
      <c r="J244" s="7">
        <v>822682403</v>
      </c>
      <c r="K244" s="7">
        <v>389636341</v>
      </c>
      <c r="L244" s="8">
        <v>1212318745</v>
      </c>
    </row>
    <row r="245" spans="1:12" s="23" customFormat="1" ht="14" x14ac:dyDescent="0.3">
      <c r="A245" s="18">
        <v>103</v>
      </c>
      <c r="B245" s="19" t="s">
        <v>12</v>
      </c>
      <c r="C245" s="20" t="s">
        <v>28</v>
      </c>
      <c r="D245" s="20" t="str">
        <f t="shared" si="9"/>
        <v/>
      </c>
      <c r="E245" s="5">
        <v>45596</v>
      </c>
      <c r="F245" s="20" t="s">
        <v>14</v>
      </c>
      <c r="G245" s="7">
        <v>1232551859</v>
      </c>
      <c r="H245" s="7">
        <v>938508878</v>
      </c>
      <c r="I245" s="7">
        <f>OPERATORS[[#This Row],[Total Sales]]-OPERATORS[[#This Row],[Total Payouts]]</f>
        <v>294042981</v>
      </c>
      <c r="J245" s="36">
        <v>140776332</v>
      </c>
      <c r="K245" s="36">
        <v>58808596</v>
      </c>
      <c r="L245" s="8">
        <v>199584928</v>
      </c>
    </row>
    <row r="246" spans="1:12" s="23" customFormat="1" ht="14" x14ac:dyDescent="0.3">
      <c r="A246" s="18">
        <f>ROW(A245)</f>
        <v>245</v>
      </c>
      <c r="B246" s="19" t="s">
        <v>3</v>
      </c>
      <c r="C246" s="20" t="s">
        <v>28</v>
      </c>
      <c r="D246" s="20" t="str">
        <f t="shared" si="9"/>
        <v/>
      </c>
      <c r="E246" s="5">
        <v>45596</v>
      </c>
      <c r="F246" s="20" t="s">
        <v>14</v>
      </c>
      <c r="G246" s="7">
        <v>3286524475</v>
      </c>
      <c r="H246" s="7">
        <v>3046895388</v>
      </c>
      <c r="I246" s="7">
        <f>OPERATORS[[#This Row],[Total Sales]]-OPERATORS[[#This Row],[Total Payouts]]</f>
        <v>239629087</v>
      </c>
      <c r="J246" s="7">
        <v>0</v>
      </c>
      <c r="K246" s="36">
        <v>83297285</v>
      </c>
      <c r="L246" s="8">
        <v>83297285</v>
      </c>
    </row>
    <row r="247" spans="1:12" s="23" customFormat="1" ht="14" x14ac:dyDescent="0.3">
      <c r="A247" s="18">
        <v>105</v>
      </c>
      <c r="B247" s="19" t="s">
        <v>12</v>
      </c>
      <c r="C247" s="20" t="s">
        <v>27</v>
      </c>
      <c r="D247" s="20" t="str">
        <f t="shared" si="9"/>
        <v/>
      </c>
      <c r="E247" s="5">
        <v>45596</v>
      </c>
      <c r="F247" s="20" t="s">
        <v>14</v>
      </c>
      <c r="G247" s="7" t="s">
        <v>20</v>
      </c>
      <c r="H247" s="7" t="s">
        <v>20</v>
      </c>
      <c r="I247" s="7">
        <v>0</v>
      </c>
      <c r="J247" s="7">
        <v>0</v>
      </c>
      <c r="K247" s="7" t="s">
        <v>20</v>
      </c>
      <c r="L247" s="8" t="s">
        <v>20</v>
      </c>
    </row>
    <row r="248" spans="1:12" s="23" customFormat="1" ht="14" x14ac:dyDescent="0.3">
      <c r="A248" s="18">
        <f>ROW(A247)</f>
        <v>247</v>
      </c>
      <c r="B248" s="19" t="s">
        <v>16</v>
      </c>
      <c r="C248" s="20" t="s">
        <v>27</v>
      </c>
      <c r="D248" s="20" t="str">
        <f t="shared" si="9"/>
        <v/>
      </c>
      <c r="E248" s="5">
        <v>45596</v>
      </c>
      <c r="F248" s="20" t="s">
        <v>14</v>
      </c>
      <c r="G248" s="7">
        <v>93844926</v>
      </c>
      <c r="H248" s="7">
        <v>65130590</v>
      </c>
      <c r="I248" s="7">
        <f>OPERATORS[[#This Row],[Total Sales]]-OPERATORS[[#This Row],[Total Payouts]]</f>
        <v>28714336</v>
      </c>
      <c r="J248" s="7">
        <v>0</v>
      </c>
      <c r="K248" s="7">
        <v>8614301</v>
      </c>
      <c r="L248" s="8">
        <v>8614301</v>
      </c>
    </row>
    <row r="249" spans="1:12" s="23" customFormat="1" ht="14" x14ac:dyDescent="0.3">
      <c r="A249" s="18">
        <f>ROW(A248)</f>
        <v>248</v>
      </c>
      <c r="B249" s="19" t="s">
        <v>3</v>
      </c>
      <c r="C249" s="20" t="s">
        <v>57</v>
      </c>
      <c r="D249" s="20" t="str">
        <f t="shared" si="9"/>
        <v/>
      </c>
      <c r="E249" s="5">
        <v>45596</v>
      </c>
      <c r="F249" s="20" t="s">
        <v>14</v>
      </c>
      <c r="G249" s="7">
        <v>68774500</v>
      </c>
      <c r="H249" s="7">
        <v>15100000</v>
      </c>
      <c r="I249" s="7">
        <f>OPERATORS[[#This Row],[Total Sales]]-OPERATORS[[#This Row],[Total Payouts]]</f>
        <v>53674500</v>
      </c>
      <c r="J249" s="7">
        <v>0</v>
      </c>
      <c r="K249" s="7">
        <v>16102350</v>
      </c>
      <c r="L249" s="8">
        <v>16102350</v>
      </c>
    </row>
    <row r="250" spans="1:12" s="23" customFormat="1" ht="14" x14ac:dyDescent="0.3">
      <c r="A250" s="18">
        <f>ROW(A249)</f>
        <v>249</v>
      </c>
      <c r="B250" s="19" t="s">
        <v>12</v>
      </c>
      <c r="C250" s="20" t="s">
        <v>72</v>
      </c>
      <c r="D250" s="20" t="str">
        <f t="shared" si="9"/>
        <v/>
      </c>
      <c r="E250" s="5">
        <v>45596</v>
      </c>
      <c r="F250" s="20" t="s">
        <v>14</v>
      </c>
      <c r="G250" s="7">
        <v>77338900</v>
      </c>
      <c r="H250" s="36">
        <v>91930679</v>
      </c>
      <c r="I250" s="7">
        <f>OPERATORS[[#This Row],[Total Sales]]-OPERATORS[[#This Row],[Total Payouts]]</f>
        <v>-14591779</v>
      </c>
      <c r="J250" s="36">
        <v>13789602</v>
      </c>
      <c r="K250" s="7">
        <v>3445102</v>
      </c>
      <c r="L250" s="37">
        <v>17234704</v>
      </c>
    </row>
    <row r="251" spans="1:12" s="23" customFormat="1" ht="14" x14ac:dyDescent="0.3">
      <c r="A251" s="18">
        <v>109</v>
      </c>
      <c r="B251" s="19" t="s">
        <v>16</v>
      </c>
      <c r="C251" s="20" t="s">
        <v>72</v>
      </c>
      <c r="D251" s="20" t="str">
        <f t="shared" si="9"/>
        <v/>
      </c>
      <c r="E251" s="5">
        <v>45596</v>
      </c>
      <c r="F251" s="20" t="s">
        <v>14</v>
      </c>
      <c r="G251" s="7">
        <v>89893783</v>
      </c>
      <c r="H251" s="7">
        <v>88233896</v>
      </c>
      <c r="I251" s="7">
        <f>OPERATORS[[#This Row],[Total Sales]]-OPERATORS[[#This Row],[Total Payouts]]</f>
        <v>1659887</v>
      </c>
      <c r="J251" s="7">
        <v>0</v>
      </c>
      <c r="K251" s="7">
        <v>497966</v>
      </c>
      <c r="L251" s="8">
        <v>497966</v>
      </c>
    </row>
    <row r="252" spans="1:12" s="23" customFormat="1" ht="14" x14ac:dyDescent="0.3">
      <c r="A252" s="18">
        <v>123</v>
      </c>
      <c r="B252" s="19" t="s">
        <v>12</v>
      </c>
      <c r="C252" s="20" t="s">
        <v>30</v>
      </c>
      <c r="D252" s="20" t="str">
        <f t="shared" si="9"/>
        <v/>
      </c>
      <c r="E252" s="5">
        <v>45596</v>
      </c>
      <c r="F252" s="20" t="s">
        <v>14</v>
      </c>
      <c r="G252" s="7">
        <v>524933965</v>
      </c>
      <c r="H252" s="7">
        <v>486178754</v>
      </c>
      <c r="I252" s="7">
        <f>OPERATORS[[#This Row],[Total Sales]]-OPERATORS[[#This Row],[Total Payouts]]</f>
        <v>38755211</v>
      </c>
      <c r="J252" s="7">
        <v>8131867</v>
      </c>
      <c r="K252" s="7">
        <v>11343462</v>
      </c>
      <c r="L252" s="8">
        <v>74313322</v>
      </c>
    </row>
    <row r="253" spans="1:12" s="23" customFormat="1" ht="14" x14ac:dyDescent="0.3">
      <c r="A253" s="18">
        <v>130</v>
      </c>
      <c r="B253" s="19" t="s">
        <v>12</v>
      </c>
      <c r="C253" s="20" t="s">
        <v>42</v>
      </c>
      <c r="D253" s="20" t="str">
        <f t="shared" si="9"/>
        <v/>
      </c>
      <c r="E253" s="5">
        <v>45596</v>
      </c>
      <c r="F253" s="20" t="s">
        <v>14</v>
      </c>
      <c r="G253" s="7">
        <v>64669585</v>
      </c>
      <c r="H253" s="7">
        <v>55082340</v>
      </c>
      <c r="I253" s="7">
        <f>OPERATORS[[#This Row],[Total Sales]]-OPERATORS[[#This Row],[Total Payouts]]</f>
        <v>9587245</v>
      </c>
      <c r="J253" s="7">
        <v>2990615</v>
      </c>
      <c r="K253" s="7">
        <v>2005080</v>
      </c>
      <c r="L253" s="8">
        <v>4995694</v>
      </c>
    </row>
    <row r="254" spans="1:12" s="23" customFormat="1" ht="14" x14ac:dyDescent="0.3">
      <c r="A254" s="18">
        <f>ROW(A253)</f>
        <v>253</v>
      </c>
      <c r="B254" s="19" t="s">
        <v>3</v>
      </c>
      <c r="C254" s="20" t="s">
        <v>42</v>
      </c>
      <c r="D254" s="20" t="str">
        <f t="shared" si="9"/>
        <v/>
      </c>
      <c r="E254" s="5">
        <v>45596</v>
      </c>
      <c r="F254" s="20" t="s">
        <v>14</v>
      </c>
      <c r="G254" s="7">
        <v>93790071</v>
      </c>
      <c r="H254" s="7">
        <v>76133660</v>
      </c>
      <c r="I254" s="7">
        <f>OPERATORS[[#This Row],[Total Sales]]-OPERATORS[[#This Row],[Total Payouts]]</f>
        <v>17656411</v>
      </c>
      <c r="J254" s="7" t="s">
        <v>20</v>
      </c>
      <c r="K254" s="7">
        <v>5496056</v>
      </c>
      <c r="L254" s="8">
        <v>5496056</v>
      </c>
    </row>
    <row r="255" spans="1:12" s="23" customFormat="1" ht="14" x14ac:dyDescent="0.3">
      <c r="A255" s="18">
        <f>ROW(A254)</f>
        <v>254</v>
      </c>
      <c r="B255" s="19" t="s">
        <v>3</v>
      </c>
      <c r="C255" s="20" t="s">
        <v>56</v>
      </c>
      <c r="D255" s="20">
        <v>1000035508</v>
      </c>
      <c r="E255" s="5">
        <v>45596</v>
      </c>
      <c r="F255" s="20" t="s">
        <v>14</v>
      </c>
      <c r="G255" s="7">
        <v>353041976</v>
      </c>
      <c r="H255" s="7">
        <v>0</v>
      </c>
      <c r="I255" s="7">
        <f>OPERATORS[[#This Row],[Total Sales]]-OPERATORS[[#This Row],[Total Payouts]]</f>
        <v>353041976</v>
      </c>
      <c r="J255" s="7">
        <v>0</v>
      </c>
      <c r="K255" s="7">
        <v>148671037</v>
      </c>
      <c r="L255" s="8">
        <v>148671037</v>
      </c>
    </row>
    <row r="256" spans="1:12" s="23" customFormat="1" ht="14" x14ac:dyDescent="0.3">
      <c r="A256" s="18">
        <f>ROW(A255)</f>
        <v>255</v>
      </c>
      <c r="B256" s="19" t="s">
        <v>17</v>
      </c>
      <c r="C256" s="20" t="s">
        <v>62</v>
      </c>
      <c r="D256" s="20" t="str">
        <f t="shared" ref="D256:D287" si="10">IFERROR(VLOOKUP(C256,OPerators_Range,2,FALSE),"")</f>
        <v/>
      </c>
      <c r="E256" s="5">
        <v>45596</v>
      </c>
      <c r="F256" s="20" t="s">
        <v>14</v>
      </c>
      <c r="G256" s="7">
        <v>376352000</v>
      </c>
      <c r="H256" s="7">
        <v>219853480</v>
      </c>
      <c r="I256" s="7">
        <f>OPERATORS[[#This Row],[Total Sales]]-OPERATORS[[#This Row],[Total Payouts]]</f>
        <v>156498520</v>
      </c>
      <c r="J256" s="7"/>
      <c r="K256" s="7">
        <v>46949556</v>
      </c>
      <c r="L256" s="8">
        <v>46949556</v>
      </c>
    </row>
    <row r="257" spans="1:12" s="23" customFormat="1" ht="14" x14ac:dyDescent="0.3">
      <c r="A257" s="18">
        <v>158</v>
      </c>
      <c r="B257" s="19" t="s">
        <v>16</v>
      </c>
      <c r="C257" s="20" t="s">
        <v>63</v>
      </c>
      <c r="D257" s="20" t="str">
        <f t="shared" si="10"/>
        <v/>
      </c>
      <c r="E257" s="5">
        <v>45596</v>
      </c>
      <c r="F257" s="20" t="s">
        <v>14</v>
      </c>
      <c r="G257" s="7">
        <v>116412917</v>
      </c>
      <c r="H257" s="7">
        <v>111440000</v>
      </c>
      <c r="I257" s="7">
        <f>OPERATORS[[#This Row],[Total Sales]]-OPERATORS[[#This Row],[Total Payouts]]</f>
        <v>4972917</v>
      </c>
      <c r="J257" s="7">
        <v>0</v>
      </c>
      <c r="K257" s="7">
        <v>1491875</v>
      </c>
      <c r="L257" s="8">
        <v>1491875</v>
      </c>
    </row>
    <row r="258" spans="1:12" s="23" customFormat="1" ht="14" x14ac:dyDescent="0.3">
      <c r="A258" s="18">
        <f>ROW(A257)</f>
        <v>257</v>
      </c>
      <c r="B258" s="19" t="s">
        <v>12</v>
      </c>
      <c r="C258" s="20" t="s">
        <v>55</v>
      </c>
      <c r="D258" s="20" t="str">
        <f t="shared" si="10"/>
        <v/>
      </c>
      <c r="E258" s="5">
        <v>45596</v>
      </c>
      <c r="F258" s="20" t="s">
        <v>14</v>
      </c>
      <c r="G258" s="7">
        <v>165268162</v>
      </c>
      <c r="H258" s="7">
        <v>108972223</v>
      </c>
      <c r="I258" s="7">
        <f>OPERATORS[[#This Row],[Total Sales]]-OPERATORS[[#This Row],[Total Payouts]]</f>
        <v>56295939</v>
      </c>
      <c r="J258" s="7">
        <v>16345833</v>
      </c>
      <c r="K258" s="7">
        <v>11259188</v>
      </c>
      <c r="L258" s="8">
        <v>27605021</v>
      </c>
    </row>
    <row r="259" spans="1:12" s="23" customFormat="1" ht="14" x14ac:dyDescent="0.3">
      <c r="A259" s="18">
        <v>165</v>
      </c>
      <c r="B259" s="19" t="s">
        <v>3</v>
      </c>
      <c r="C259" s="20" t="s">
        <v>71</v>
      </c>
      <c r="D259" s="20" t="str">
        <f t="shared" si="10"/>
        <v/>
      </c>
      <c r="E259" s="5">
        <v>45596</v>
      </c>
      <c r="F259" s="20" t="s">
        <v>14</v>
      </c>
      <c r="G259" s="7">
        <v>185403000</v>
      </c>
      <c r="H259" s="7">
        <v>47893500</v>
      </c>
      <c r="I259" s="7">
        <f>OPERATORS[[#This Row],[Total Sales]]-OPERATORS[[#This Row],[Total Payouts]]</f>
        <v>137509500</v>
      </c>
      <c r="J259" s="7">
        <v>0</v>
      </c>
      <c r="K259" s="7">
        <v>41252850</v>
      </c>
      <c r="L259" s="8">
        <v>41252850</v>
      </c>
    </row>
    <row r="260" spans="1:12" s="23" customFormat="1" ht="14" x14ac:dyDescent="0.3">
      <c r="A260" s="18">
        <v>168</v>
      </c>
      <c r="B260" s="19" t="s">
        <v>3</v>
      </c>
      <c r="C260" s="20" t="s">
        <v>66</v>
      </c>
      <c r="D260" s="20" t="str">
        <f t="shared" si="10"/>
        <v/>
      </c>
      <c r="E260" s="5">
        <v>45596</v>
      </c>
      <c r="F260" s="20" t="s">
        <v>14</v>
      </c>
      <c r="G260" s="7">
        <v>0</v>
      </c>
      <c r="H260" s="7">
        <v>0</v>
      </c>
      <c r="I260" s="7">
        <f>OPERATORS[[#This Row],[Total Sales]]-OPERATORS[[#This Row],[Total Payouts]]</f>
        <v>0</v>
      </c>
      <c r="J260" s="7">
        <v>0</v>
      </c>
      <c r="K260" s="7">
        <v>0</v>
      </c>
      <c r="L260" s="8">
        <v>0</v>
      </c>
    </row>
    <row r="261" spans="1:12" s="23" customFormat="1" ht="14" x14ac:dyDescent="0.3">
      <c r="A261" s="18">
        <f>ROW(A260)</f>
        <v>260</v>
      </c>
      <c r="B261" s="19" t="s">
        <v>12</v>
      </c>
      <c r="C261" s="20" t="s">
        <v>29</v>
      </c>
      <c r="D261" s="20" t="str">
        <f t="shared" si="10"/>
        <v/>
      </c>
      <c r="E261" s="5">
        <v>45596</v>
      </c>
      <c r="F261" s="20" t="s">
        <v>14</v>
      </c>
      <c r="G261" s="7">
        <v>746511715</v>
      </c>
      <c r="H261" s="7">
        <v>557554755</v>
      </c>
      <c r="I261" s="7">
        <f>OPERATORS[[#This Row],[Total Sales]]-OPERATORS[[#This Row],[Total Payouts]]</f>
        <v>188956960</v>
      </c>
      <c r="J261" s="7">
        <v>83633213</v>
      </c>
      <c r="K261" s="7">
        <v>45416083</v>
      </c>
      <c r="L261" s="8">
        <v>129049296</v>
      </c>
    </row>
    <row r="262" spans="1:12" s="23" customFormat="1" ht="14" x14ac:dyDescent="0.3">
      <c r="A262" s="18">
        <f>ROW(A261)</f>
        <v>261</v>
      </c>
      <c r="B262" s="19" t="s">
        <v>3</v>
      </c>
      <c r="C262" s="20" t="s">
        <v>33</v>
      </c>
      <c r="D262" s="20" t="str">
        <f t="shared" si="10"/>
        <v/>
      </c>
      <c r="E262" s="5">
        <v>45596</v>
      </c>
      <c r="F262" s="20" t="s">
        <v>14</v>
      </c>
      <c r="G262" s="7">
        <v>430568200</v>
      </c>
      <c r="H262" s="7">
        <v>408387000</v>
      </c>
      <c r="I262" s="7">
        <f>OPERATORS[[#This Row],[Total Sales]]-OPERATORS[[#This Row],[Total Payouts]]</f>
        <v>22181200</v>
      </c>
      <c r="J262" s="7">
        <v>0</v>
      </c>
      <c r="K262" s="7">
        <v>12464460</v>
      </c>
      <c r="L262" s="8">
        <v>12464460</v>
      </c>
    </row>
    <row r="263" spans="1:12" s="23" customFormat="1" ht="14" x14ac:dyDescent="0.3">
      <c r="A263" s="18">
        <v>269</v>
      </c>
      <c r="B263" s="19" t="s">
        <v>3</v>
      </c>
      <c r="C263" s="20" t="s">
        <v>54</v>
      </c>
      <c r="D263" s="20" t="str">
        <f t="shared" si="10"/>
        <v/>
      </c>
      <c r="E263" s="5">
        <v>45596</v>
      </c>
      <c r="F263" s="20" t="s">
        <v>14</v>
      </c>
      <c r="G263" s="7">
        <v>197492100</v>
      </c>
      <c r="H263" s="7">
        <v>130005000</v>
      </c>
      <c r="I263" s="7">
        <v>67487100</v>
      </c>
      <c r="J263" s="7"/>
      <c r="K263" s="7">
        <v>20246130</v>
      </c>
      <c r="L263" s="8">
        <f>OPERATORS[[#This Row],[Withholding Tax]]+OPERATORS[[#This Row],[Gaming Tax]]</f>
        <v>20246130</v>
      </c>
    </row>
    <row r="264" spans="1:12" s="23" customFormat="1" ht="14" x14ac:dyDescent="0.3">
      <c r="A264" s="18">
        <f>ROW(A263)</f>
        <v>263</v>
      </c>
      <c r="B264" s="19" t="s">
        <v>12</v>
      </c>
      <c r="C264" s="20" t="s">
        <v>31</v>
      </c>
      <c r="D264" s="20" t="str">
        <f t="shared" si="10"/>
        <v/>
      </c>
      <c r="E264" s="5">
        <v>45596</v>
      </c>
      <c r="F264" s="20" t="s">
        <v>14</v>
      </c>
      <c r="G264" s="7">
        <v>24567658</v>
      </c>
      <c r="H264" s="7">
        <v>15013365</v>
      </c>
      <c r="I264" s="7">
        <f>OPERATORS[[#This Row],[Total Sales]]-OPERATORS[[#This Row],[Total Payouts]]</f>
        <v>9554293</v>
      </c>
      <c r="J264" s="7">
        <v>2252004.75</v>
      </c>
      <c r="K264" s="7">
        <v>2088853.2</v>
      </c>
      <c r="L264" s="8">
        <f>OPERATORS[[#This Row],[Withholding Tax]]+OPERATORS[[#This Row],[Gaming Tax]]</f>
        <v>4340857.95</v>
      </c>
    </row>
    <row r="265" spans="1:12" s="23" customFormat="1" ht="14" x14ac:dyDescent="0.3">
      <c r="A265" s="18">
        <f>ROW(A264)</f>
        <v>264</v>
      </c>
      <c r="B265" s="3" t="s">
        <v>12</v>
      </c>
      <c r="C265" s="20" t="s">
        <v>68</v>
      </c>
      <c r="D265" s="35" t="str">
        <f t="shared" si="10"/>
        <v/>
      </c>
      <c r="E265" s="5">
        <v>45596</v>
      </c>
      <c r="F265" s="6" t="s">
        <v>14</v>
      </c>
      <c r="G265" s="1">
        <v>77720064</v>
      </c>
      <c r="H265" s="1">
        <v>50270994</v>
      </c>
      <c r="I265" s="7">
        <f>OPERATORS[[#This Row],[Total Sales]]-OPERATORS[[#This Row],[Total Payouts]]</f>
        <v>27449070</v>
      </c>
      <c r="J265" s="1">
        <v>7540649</v>
      </c>
      <c r="K265" s="1">
        <v>6785596</v>
      </c>
      <c r="L265" s="8">
        <f>OPERATORS[[#This Row],[Withholding Tax]]+OPERATORS[[#This Row],[Gaming Tax]]</f>
        <v>14326245</v>
      </c>
    </row>
    <row r="266" spans="1:12" s="23" customFormat="1" ht="14" x14ac:dyDescent="0.3">
      <c r="A266" s="18">
        <v>303</v>
      </c>
      <c r="B266" s="3" t="s">
        <v>12</v>
      </c>
      <c r="C266" s="6" t="s">
        <v>54</v>
      </c>
      <c r="D266" s="35" t="str">
        <f t="shared" si="10"/>
        <v/>
      </c>
      <c r="E266" s="5">
        <v>45596</v>
      </c>
      <c r="F266" s="6" t="s">
        <v>14</v>
      </c>
      <c r="G266" s="7">
        <v>168449200</v>
      </c>
      <c r="H266" s="7">
        <v>105722900</v>
      </c>
      <c r="I266" s="7">
        <f>OPERATORS[[#This Row],[Total Sales]]-OPERATORS[[#This Row],[Total Payouts]]</f>
        <v>62726300</v>
      </c>
      <c r="J266" s="7">
        <v>15858435</v>
      </c>
      <c r="K266" s="7">
        <v>13823340</v>
      </c>
      <c r="L266" s="8">
        <f>OPERATORS[[#This Row],[Withholding Tax]]+OPERATORS[[#This Row],[Gaming Tax]]</f>
        <v>29681775</v>
      </c>
    </row>
    <row r="267" spans="1:12" s="23" customFormat="1" ht="14" x14ac:dyDescent="0.3">
      <c r="A267" s="18">
        <f>ROW(A266)</f>
        <v>266</v>
      </c>
      <c r="B267" s="3" t="s">
        <v>12</v>
      </c>
      <c r="C267" s="6" t="s">
        <v>35</v>
      </c>
      <c r="D267" s="35" t="str">
        <f t="shared" si="10"/>
        <v/>
      </c>
      <c r="E267" s="5">
        <v>45596</v>
      </c>
      <c r="F267" s="6" t="s">
        <v>14</v>
      </c>
      <c r="G267" s="7">
        <v>2037955000</v>
      </c>
      <c r="H267" s="7">
        <v>1975628000</v>
      </c>
      <c r="I267" s="7">
        <f>OPERATORS[[#This Row],[Total Sales]]-OPERATORS[[#This Row],[Total Payouts]]</f>
        <v>62327000</v>
      </c>
      <c r="J267" s="7">
        <v>296344200</v>
      </c>
      <c r="K267" s="7">
        <v>15441200</v>
      </c>
      <c r="L267" s="8">
        <f>OPERATORS[[#This Row],[Withholding Tax]]+OPERATORS[[#This Row],[Gaming Tax]]</f>
        <v>311785400</v>
      </c>
    </row>
    <row r="268" spans="1:12" s="23" customFormat="1" ht="14" x14ac:dyDescent="0.3">
      <c r="A268" s="18">
        <v>317</v>
      </c>
      <c r="B268" s="3" t="s">
        <v>16</v>
      </c>
      <c r="C268" s="6" t="s">
        <v>35</v>
      </c>
      <c r="D268" s="35" t="str">
        <f t="shared" si="10"/>
        <v/>
      </c>
      <c r="E268" s="5">
        <v>45596</v>
      </c>
      <c r="F268" s="6" t="s">
        <v>14</v>
      </c>
      <c r="G268" s="7">
        <v>887920310</v>
      </c>
      <c r="H268" s="7">
        <v>840343340</v>
      </c>
      <c r="I268" s="7">
        <f>OPERATORS[[#This Row],[Total Sales]]-OPERATORS[[#This Row],[Total Payouts]]</f>
        <v>47576970</v>
      </c>
      <c r="J268" s="7"/>
      <c r="K268" s="7">
        <v>14273091</v>
      </c>
      <c r="L268" s="8">
        <f>OPERATORS[[#This Row],[Withholding Tax]]+OPERATORS[[#This Row],[Gaming Tax]]</f>
        <v>14273091</v>
      </c>
    </row>
    <row r="269" spans="1:12" s="23" customFormat="1" ht="14" x14ac:dyDescent="0.3">
      <c r="A269" s="18">
        <f>ROW(A268)</f>
        <v>268</v>
      </c>
      <c r="B269" s="3" t="s">
        <v>12</v>
      </c>
      <c r="C269" s="6" t="s">
        <v>58</v>
      </c>
      <c r="D269" s="35" t="str">
        <f t="shared" si="10"/>
        <v/>
      </c>
      <c r="E269" s="5">
        <v>45596</v>
      </c>
      <c r="F269" s="6" t="s">
        <v>14</v>
      </c>
      <c r="G269" s="7">
        <v>6357554499</v>
      </c>
      <c r="H269" s="7">
        <v>6114552416</v>
      </c>
      <c r="I269" s="7">
        <f>OPERATORS[[#This Row],[Total Sales]]-OPERATORS[[#This Row],[Total Payouts]]</f>
        <v>243002083</v>
      </c>
      <c r="J269" s="7">
        <v>917182862</v>
      </c>
      <c r="K269" s="7">
        <v>50517630</v>
      </c>
      <c r="L269" s="8">
        <v>967700492</v>
      </c>
    </row>
    <row r="270" spans="1:12" s="23" customFormat="1" ht="14" x14ac:dyDescent="0.3">
      <c r="A270" s="18">
        <v>333</v>
      </c>
      <c r="B270" s="3" t="s">
        <v>16</v>
      </c>
      <c r="C270" s="6" t="s">
        <v>58</v>
      </c>
      <c r="D270" s="35" t="str">
        <f t="shared" si="10"/>
        <v/>
      </c>
      <c r="E270" s="5">
        <v>45596</v>
      </c>
      <c r="F270" s="6" t="s">
        <v>14</v>
      </c>
      <c r="G270" s="7">
        <v>4184295740</v>
      </c>
      <c r="H270" s="7">
        <v>4055197164</v>
      </c>
      <c r="I270" s="7">
        <f>OPERATORS[[#This Row],[Total Sales]]-OPERATORS[[#This Row],[Total Payouts]]</f>
        <v>129098576</v>
      </c>
      <c r="J270" s="7">
        <v>0</v>
      </c>
      <c r="K270" s="7">
        <v>39069299</v>
      </c>
      <c r="L270" s="8">
        <v>39069299</v>
      </c>
    </row>
    <row r="271" spans="1:12" s="23" customFormat="1" ht="14" x14ac:dyDescent="0.3">
      <c r="A271" s="18">
        <f>ROW(A270)</f>
        <v>270</v>
      </c>
      <c r="B271" s="3" t="s">
        <v>12</v>
      </c>
      <c r="C271" s="20" t="s">
        <v>64</v>
      </c>
      <c r="D271" s="35" t="str">
        <f t="shared" si="10"/>
        <v/>
      </c>
      <c r="E271" s="5">
        <v>45596</v>
      </c>
      <c r="F271" s="20" t="s">
        <v>14</v>
      </c>
      <c r="G271" s="7">
        <v>320051912</v>
      </c>
      <c r="H271" s="7">
        <v>133082151</v>
      </c>
      <c r="I271" s="7">
        <v>186969761</v>
      </c>
      <c r="J271" s="7">
        <v>19962323</v>
      </c>
      <c r="K271" s="7">
        <v>37393952</v>
      </c>
      <c r="L271" s="8">
        <v>57356275</v>
      </c>
    </row>
    <row r="272" spans="1:12" s="23" customFormat="1" ht="14" x14ac:dyDescent="0.3">
      <c r="A272" s="18">
        <f>ROW(A271)</f>
        <v>271</v>
      </c>
      <c r="B272" s="3" t="s">
        <v>3</v>
      </c>
      <c r="C272" s="20" t="s">
        <v>64</v>
      </c>
      <c r="D272" s="35" t="str">
        <f t="shared" si="10"/>
        <v/>
      </c>
      <c r="E272" s="5">
        <v>45596</v>
      </c>
      <c r="F272" s="20" t="s">
        <v>14</v>
      </c>
      <c r="G272" s="7">
        <v>424810855</v>
      </c>
      <c r="H272" s="7">
        <v>283248341</v>
      </c>
      <c r="I272" s="7">
        <v>141562514</v>
      </c>
      <c r="J272" s="7">
        <v>0</v>
      </c>
      <c r="K272" s="7">
        <v>42468754</v>
      </c>
      <c r="L272" s="8">
        <v>42468754</v>
      </c>
    </row>
    <row r="273" spans="1:13" s="23" customFormat="1" ht="14" x14ac:dyDescent="0.3">
      <c r="A273" s="18" t="e">
        <f>ROW(#REF!)</f>
        <v>#REF!</v>
      </c>
      <c r="B273" s="19" t="s">
        <v>12</v>
      </c>
      <c r="C273" s="20" t="s">
        <v>37</v>
      </c>
      <c r="D273" s="20" t="str">
        <f t="shared" si="10"/>
        <v/>
      </c>
      <c r="E273" s="5">
        <v>45626</v>
      </c>
      <c r="F273" s="20" t="s">
        <v>14</v>
      </c>
      <c r="G273" s="7">
        <v>1226252639</v>
      </c>
      <c r="H273" s="7">
        <v>881839307</v>
      </c>
      <c r="I273" s="7">
        <f>OPERATORS[[#This Row],[Total Sales]]-OPERATORS[[#This Row],[Total Payouts]]</f>
        <v>344413332</v>
      </c>
      <c r="J273" s="7">
        <v>132275896</v>
      </c>
      <c r="K273" s="7">
        <v>75500813</v>
      </c>
      <c r="L273" s="8">
        <v>207776709</v>
      </c>
    </row>
    <row r="274" spans="1:13" s="23" customFormat="1" ht="14" x14ac:dyDescent="0.3">
      <c r="A274" s="18">
        <v>110</v>
      </c>
      <c r="B274" s="19" t="s">
        <v>12</v>
      </c>
      <c r="C274" s="20" t="s">
        <v>78</v>
      </c>
      <c r="D274" s="20" t="str">
        <f t="shared" si="10"/>
        <v/>
      </c>
      <c r="E274" s="5">
        <v>45626</v>
      </c>
      <c r="F274" s="20" t="s">
        <v>14</v>
      </c>
      <c r="G274" s="7">
        <v>159752694</v>
      </c>
      <c r="H274" s="36">
        <v>130683031</v>
      </c>
      <c r="I274" s="7">
        <f>OPERATORS[[#This Row],[Total Sales]]-OPERATORS[[#This Row],[Total Payouts]]</f>
        <v>29069663</v>
      </c>
      <c r="J274" s="36">
        <v>19602455</v>
      </c>
      <c r="K274" s="36">
        <v>7459728</v>
      </c>
      <c r="L274" s="37">
        <v>27062182</v>
      </c>
    </row>
    <row r="275" spans="1:13" s="23" customFormat="1" ht="14" x14ac:dyDescent="0.3">
      <c r="A275" s="18">
        <f>ROW(A274)</f>
        <v>274</v>
      </c>
      <c r="B275" s="19" t="s">
        <v>16</v>
      </c>
      <c r="C275" s="20" t="s">
        <v>69</v>
      </c>
      <c r="D275" s="20" t="str">
        <f t="shared" si="10"/>
        <v/>
      </c>
      <c r="E275" s="5">
        <v>45626</v>
      </c>
      <c r="F275" s="20" t="s">
        <v>14</v>
      </c>
      <c r="G275" s="7">
        <v>589582300</v>
      </c>
      <c r="H275" s="7">
        <v>497610054</v>
      </c>
      <c r="I275" s="7">
        <f>OPERATORS[[#This Row],[Total Sales]]-OPERATORS[[#This Row],[Total Payouts]]</f>
        <v>91972246</v>
      </c>
      <c r="J275" s="7">
        <v>0</v>
      </c>
      <c r="K275" s="7">
        <v>27591674</v>
      </c>
      <c r="L275" s="8">
        <v>27591674</v>
      </c>
    </row>
    <row r="276" spans="1:13" s="23" customFormat="1" ht="14" x14ac:dyDescent="0.3">
      <c r="A276" s="18">
        <v>111</v>
      </c>
      <c r="B276" s="19" t="s">
        <v>12</v>
      </c>
      <c r="C276" s="20" t="s">
        <v>65</v>
      </c>
      <c r="D276" s="20" t="str">
        <f t="shared" si="10"/>
        <v/>
      </c>
      <c r="E276" s="5">
        <v>45626</v>
      </c>
      <c r="F276" s="20" t="s">
        <v>14</v>
      </c>
      <c r="G276" s="7" t="s">
        <v>20</v>
      </c>
      <c r="H276" s="7" t="s">
        <v>20</v>
      </c>
      <c r="I276" s="7">
        <v>0</v>
      </c>
      <c r="J276" s="7">
        <v>0</v>
      </c>
      <c r="K276" s="7" t="s">
        <v>20</v>
      </c>
      <c r="L276" s="8" t="s">
        <v>20</v>
      </c>
    </row>
    <row r="277" spans="1:13" s="23" customFormat="1" ht="14" x14ac:dyDescent="0.3">
      <c r="A277" s="18">
        <f>ROW(A276)</f>
        <v>276</v>
      </c>
      <c r="B277" s="19" t="s">
        <v>3</v>
      </c>
      <c r="C277" s="20" t="s">
        <v>65</v>
      </c>
      <c r="D277" s="20" t="str">
        <f t="shared" si="10"/>
        <v/>
      </c>
      <c r="E277" s="5">
        <v>45626</v>
      </c>
      <c r="F277" s="20" t="s">
        <v>14</v>
      </c>
      <c r="G277" s="7" t="s">
        <v>20</v>
      </c>
      <c r="H277" s="7" t="s">
        <v>20</v>
      </c>
      <c r="I277" s="7">
        <v>0</v>
      </c>
      <c r="J277" s="7">
        <v>0</v>
      </c>
      <c r="K277" s="7" t="s">
        <v>20</v>
      </c>
      <c r="L277" s="8" t="s">
        <v>20</v>
      </c>
    </row>
    <row r="278" spans="1:13" s="23" customFormat="1" ht="14" x14ac:dyDescent="0.3">
      <c r="A278" s="18">
        <v>112</v>
      </c>
      <c r="B278" s="19" t="s">
        <v>12</v>
      </c>
      <c r="C278" s="20" t="s">
        <v>73</v>
      </c>
      <c r="D278" s="20" t="str">
        <f t="shared" si="10"/>
        <v/>
      </c>
      <c r="E278" s="5">
        <v>45626</v>
      </c>
      <c r="F278" s="20" t="s">
        <v>14</v>
      </c>
      <c r="G278" s="7" t="s">
        <v>20</v>
      </c>
      <c r="H278" s="7" t="s">
        <v>20</v>
      </c>
      <c r="I278" s="7">
        <v>0</v>
      </c>
      <c r="J278" s="7">
        <v>0</v>
      </c>
      <c r="K278" s="7" t="s">
        <v>20</v>
      </c>
      <c r="L278" s="8" t="s">
        <v>20</v>
      </c>
    </row>
    <row r="279" spans="1:13" s="23" customFormat="1" ht="14" x14ac:dyDescent="0.3">
      <c r="A279" s="18">
        <f>ROW(A278)</f>
        <v>278</v>
      </c>
      <c r="B279" s="19" t="s">
        <v>3</v>
      </c>
      <c r="C279" s="20" t="s">
        <v>73</v>
      </c>
      <c r="D279" s="20" t="str">
        <f t="shared" si="10"/>
        <v/>
      </c>
      <c r="E279" s="5">
        <v>45626</v>
      </c>
      <c r="F279" s="20" t="s">
        <v>14</v>
      </c>
      <c r="G279" s="7" t="s">
        <v>20</v>
      </c>
      <c r="H279" s="7" t="s">
        <v>20</v>
      </c>
      <c r="I279" s="7">
        <v>0</v>
      </c>
      <c r="J279" s="7">
        <v>0</v>
      </c>
      <c r="K279" s="7" t="s">
        <v>20</v>
      </c>
      <c r="L279" s="8" t="s">
        <v>20</v>
      </c>
    </row>
    <row r="280" spans="1:13" s="23" customFormat="1" ht="14" x14ac:dyDescent="0.3">
      <c r="A280" s="18">
        <v>113</v>
      </c>
      <c r="B280" s="19" t="s">
        <v>12</v>
      </c>
      <c r="C280" s="20" t="s">
        <v>36</v>
      </c>
      <c r="D280" s="20" t="str">
        <f t="shared" si="10"/>
        <v/>
      </c>
      <c r="E280" s="5">
        <v>45626</v>
      </c>
      <c r="F280" s="20" t="s">
        <v>14</v>
      </c>
      <c r="G280" s="7">
        <v>38392921</v>
      </c>
      <c r="H280" s="7">
        <v>30831069</v>
      </c>
      <c r="I280" s="7">
        <f>OPERATORS[[#This Row],[Total Sales]]-OPERATORS[[#This Row],[Total Payouts]]</f>
        <v>7561852</v>
      </c>
      <c r="J280" s="7">
        <v>4624660</v>
      </c>
      <c r="K280" s="7">
        <v>2265011</v>
      </c>
      <c r="L280" s="8">
        <v>6889671</v>
      </c>
    </row>
    <row r="281" spans="1:13" s="23" customFormat="1" ht="14" x14ac:dyDescent="0.3">
      <c r="A281" s="18">
        <f>ROW(A280)</f>
        <v>280</v>
      </c>
      <c r="B281" s="19" t="s">
        <v>16</v>
      </c>
      <c r="C281" s="20" t="s">
        <v>36</v>
      </c>
      <c r="D281" s="20" t="str">
        <f t="shared" si="10"/>
        <v/>
      </c>
      <c r="E281" s="5">
        <v>45626</v>
      </c>
      <c r="F281" s="20" t="s">
        <v>14</v>
      </c>
      <c r="G281" s="7">
        <v>299358845</v>
      </c>
      <c r="H281" s="7">
        <v>252037315</v>
      </c>
      <c r="I281" s="7">
        <f>OPERATORS[[#This Row],[Total Sales]]-OPERATORS[[#This Row],[Total Payouts]]</f>
        <v>47321530</v>
      </c>
      <c r="J281" s="7">
        <v>0</v>
      </c>
      <c r="K281" s="7">
        <v>14196459</v>
      </c>
      <c r="L281" s="8">
        <v>14196459</v>
      </c>
    </row>
    <row r="282" spans="1:13" s="23" customFormat="1" ht="14" x14ac:dyDescent="0.3">
      <c r="A282" s="18">
        <v>114</v>
      </c>
      <c r="B282" s="19" t="s">
        <v>12</v>
      </c>
      <c r="C282" s="20" t="s">
        <v>44</v>
      </c>
      <c r="D282" s="20" t="str">
        <f t="shared" si="10"/>
        <v/>
      </c>
      <c r="E282" s="5">
        <v>45626</v>
      </c>
      <c r="F282" s="20" t="s">
        <v>14</v>
      </c>
      <c r="G282" s="7" t="s">
        <v>20</v>
      </c>
      <c r="H282" s="7" t="s">
        <v>20</v>
      </c>
      <c r="I282" s="7">
        <v>0</v>
      </c>
      <c r="J282" s="7">
        <v>0</v>
      </c>
      <c r="K282" s="7" t="s">
        <v>20</v>
      </c>
      <c r="L282" s="8" t="s">
        <v>20</v>
      </c>
      <c r="M282" s="26"/>
    </row>
    <row r="283" spans="1:13" s="23" customFormat="1" ht="14" x14ac:dyDescent="0.3">
      <c r="A283" s="18">
        <f>ROW(A282)</f>
        <v>282</v>
      </c>
      <c r="B283" s="19" t="s">
        <v>3</v>
      </c>
      <c r="C283" s="20" t="s">
        <v>44</v>
      </c>
      <c r="D283" s="20" t="str">
        <f t="shared" si="10"/>
        <v/>
      </c>
      <c r="E283" s="5">
        <v>45626</v>
      </c>
      <c r="F283" s="20" t="s">
        <v>14</v>
      </c>
      <c r="G283" s="7">
        <v>7067040</v>
      </c>
      <c r="H283" s="7">
        <v>6508002</v>
      </c>
      <c r="I283" s="7">
        <f>OPERATORS[[#This Row],[Total Sales]]-OPERATORS[[#This Row],[Total Payouts]]</f>
        <v>559038</v>
      </c>
      <c r="J283" s="7">
        <v>0</v>
      </c>
      <c r="K283" s="7">
        <v>193207</v>
      </c>
      <c r="L283" s="8">
        <v>193207</v>
      </c>
      <c r="M283" s="26"/>
    </row>
    <row r="284" spans="1:13" s="23" customFormat="1" ht="14" x14ac:dyDescent="0.3">
      <c r="A284" s="18">
        <v>115</v>
      </c>
      <c r="B284" s="19" t="s">
        <v>12</v>
      </c>
      <c r="C284" s="20" t="s">
        <v>61</v>
      </c>
      <c r="D284" s="20" t="str">
        <f t="shared" si="10"/>
        <v/>
      </c>
      <c r="E284" s="5">
        <v>45626</v>
      </c>
      <c r="F284" s="20" t="s">
        <v>14</v>
      </c>
      <c r="G284" s="7">
        <v>975603700</v>
      </c>
      <c r="H284" s="7">
        <v>513012400</v>
      </c>
      <c r="I284" s="7">
        <f>OPERATORS[[#This Row],[Total Sales]]-OPERATORS[[#This Row],[Total Payouts]]</f>
        <v>462591300</v>
      </c>
      <c r="J284" s="7">
        <v>76951860</v>
      </c>
      <c r="K284" s="7">
        <v>92518260</v>
      </c>
      <c r="L284" s="8">
        <v>169470120</v>
      </c>
    </row>
    <row r="285" spans="1:13" s="23" customFormat="1" ht="14" x14ac:dyDescent="0.3">
      <c r="A285" s="18">
        <f>ROW(A284)</f>
        <v>284</v>
      </c>
      <c r="B285" s="19" t="s">
        <v>16</v>
      </c>
      <c r="C285" s="20" t="s">
        <v>61</v>
      </c>
      <c r="D285" s="20" t="str">
        <f t="shared" si="10"/>
        <v/>
      </c>
      <c r="E285" s="5">
        <v>45626</v>
      </c>
      <c r="F285" s="20" t="s">
        <v>14</v>
      </c>
      <c r="G285" s="7">
        <v>642953000</v>
      </c>
      <c r="H285" s="7">
        <v>538335000</v>
      </c>
      <c r="I285" s="7">
        <f>OPERATORS[[#This Row],[Total Sales]]-OPERATORS[[#This Row],[Total Payouts]]</f>
        <v>104618000</v>
      </c>
      <c r="J285" s="7" t="s">
        <v>20</v>
      </c>
      <c r="K285" s="7">
        <v>31385400</v>
      </c>
      <c r="L285" s="8">
        <v>31385400</v>
      </c>
    </row>
    <row r="286" spans="1:13" s="23" customFormat="1" ht="14" x14ac:dyDescent="0.3">
      <c r="A286" s="18">
        <v>116</v>
      </c>
      <c r="B286" s="19" t="s">
        <v>3</v>
      </c>
      <c r="C286" s="20" t="s">
        <v>51</v>
      </c>
      <c r="D286" s="20" t="str">
        <f t="shared" si="10"/>
        <v/>
      </c>
      <c r="E286" s="5">
        <v>45626</v>
      </c>
      <c r="F286" s="20" t="s">
        <v>14</v>
      </c>
      <c r="G286" s="7">
        <v>638653869</v>
      </c>
      <c r="H286" s="7">
        <v>60042461</v>
      </c>
      <c r="I286" s="7">
        <f>OPERATORS[[#This Row],[Total Sales]]-OPERATORS[[#This Row],[Total Payouts]]</f>
        <v>578611408</v>
      </c>
      <c r="J286" s="7" t="s">
        <v>20</v>
      </c>
      <c r="K286" s="7">
        <v>191596161</v>
      </c>
      <c r="L286" s="8">
        <v>191596161</v>
      </c>
    </row>
    <row r="287" spans="1:13" s="23" customFormat="1" ht="14" x14ac:dyDescent="0.3">
      <c r="A287" s="18">
        <f>ROW(A286)</f>
        <v>286</v>
      </c>
      <c r="B287" s="19" t="s">
        <v>17</v>
      </c>
      <c r="C287" s="20" t="s">
        <v>34</v>
      </c>
      <c r="D287" s="20" t="str">
        <f t="shared" si="10"/>
        <v/>
      </c>
      <c r="E287" s="5">
        <v>45626</v>
      </c>
      <c r="F287" s="20" t="s">
        <v>14</v>
      </c>
      <c r="G287" s="7">
        <v>568362000</v>
      </c>
      <c r="H287" s="7">
        <v>519300000</v>
      </c>
      <c r="I287" s="7">
        <f>OPERATORS[[#This Row],[Total Sales]]-OPERATORS[[#This Row],[Total Payouts]]</f>
        <v>49062000</v>
      </c>
      <c r="J287" s="38" t="s">
        <v>20</v>
      </c>
      <c r="K287" s="38">
        <v>14718600</v>
      </c>
      <c r="L287" s="7">
        <v>14718600</v>
      </c>
    </row>
    <row r="288" spans="1:13" s="23" customFormat="1" ht="14" x14ac:dyDescent="0.3">
      <c r="A288" s="18">
        <v>117</v>
      </c>
      <c r="B288" s="19" t="s">
        <v>12</v>
      </c>
      <c r="C288" s="20" t="s">
        <v>50</v>
      </c>
      <c r="D288" s="20" t="str">
        <f t="shared" ref="D288:D314" si="11">IFERROR(VLOOKUP(C288,OPerators_Range,2,FALSE),"")</f>
        <v/>
      </c>
      <c r="E288" s="5">
        <v>45626</v>
      </c>
      <c r="F288" s="20" t="s">
        <v>14</v>
      </c>
      <c r="G288" s="7">
        <v>24089605</v>
      </c>
      <c r="H288" s="7">
        <v>5187327</v>
      </c>
      <c r="I288" s="7">
        <f>OPERATORS[[#This Row],[Total Sales]]-OPERATORS[[#This Row],[Total Payouts]]</f>
        <v>18902278</v>
      </c>
      <c r="J288" s="7">
        <v>778099</v>
      </c>
      <c r="K288" s="7">
        <v>3780456</v>
      </c>
      <c r="L288" s="8">
        <v>4558555</v>
      </c>
    </row>
    <row r="289" spans="1:12" s="23" customFormat="1" ht="14" x14ac:dyDescent="0.3">
      <c r="A289" s="18">
        <f>ROW(A288)</f>
        <v>288</v>
      </c>
      <c r="B289" s="19" t="s">
        <v>16</v>
      </c>
      <c r="C289" s="20" t="s">
        <v>39</v>
      </c>
      <c r="D289" s="20" t="str">
        <f t="shared" si="11"/>
        <v/>
      </c>
      <c r="E289" s="5">
        <v>45626</v>
      </c>
      <c r="F289" s="20" t="s">
        <v>14</v>
      </c>
      <c r="G289" s="7">
        <v>96813268</v>
      </c>
      <c r="H289" s="7">
        <v>92982745</v>
      </c>
      <c r="I289" s="7">
        <f>OPERATORS[[#This Row],[Total Sales]]-OPERATORS[[#This Row],[Total Payouts]]</f>
        <v>3830523</v>
      </c>
      <c r="J289" s="7" t="s">
        <v>20</v>
      </c>
      <c r="K289" s="7">
        <v>8382932</v>
      </c>
      <c r="L289" s="8">
        <v>8382932</v>
      </c>
    </row>
    <row r="290" spans="1:12" s="23" customFormat="1" ht="14" x14ac:dyDescent="0.3">
      <c r="A290" s="18">
        <v>118</v>
      </c>
      <c r="B290" s="19" t="s">
        <v>12</v>
      </c>
      <c r="C290" s="20" t="s">
        <v>70</v>
      </c>
      <c r="D290" s="20" t="str">
        <f t="shared" si="11"/>
        <v/>
      </c>
      <c r="E290" s="5">
        <v>45626</v>
      </c>
      <c r="F290" s="20" t="s">
        <v>14</v>
      </c>
      <c r="G290" s="7">
        <v>2472627738</v>
      </c>
      <c r="H290" s="7">
        <v>1830698851</v>
      </c>
      <c r="I290" s="7">
        <f>OPERATORS[[#This Row],[Total Sales]]-OPERATORS[[#This Row],[Total Payouts]]</f>
        <v>641928887</v>
      </c>
      <c r="J290" s="7">
        <v>274604828</v>
      </c>
      <c r="K290" s="7">
        <v>146836958</v>
      </c>
      <c r="L290" s="8">
        <v>421441785</v>
      </c>
    </row>
    <row r="291" spans="1:12" s="23" customFormat="1" ht="14" x14ac:dyDescent="0.3">
      <c r="A291" s="18">
        <f>ROW(A290)</f>
        <v>290</v>
      </c>
      <c r="B291" s="19" t="s">
        <v>3</v>
      </c>
      <c r="C291" s="20" t="s">
        <v>70</v>
      </c>
      <c r="D291" s="20" t="str">
        <f t="shared" si="11"/>
        <v/>
      </c>
      <c r="E291" s="5">
        <v>45626</v>
      </c>
      <c r="F291" s="20" t="s">
        <v>14</v>
      </c>
      <c r="G291" s="7">
        <v>1485233312</v>
      </c>
      <c r="H291" s="7">
        <v>1395087641</v>
      </c>
      <c r="I291" s="7">
        <f>OPERATORS[[#This Row],[Total Sales]]-OPERATORS[[#This Row],[Total Payouts]]</f>
        <v>90145671</v>
      </c>
      <c r="J291" s="7" t="s">
        <v>20</v>
      </c>
      <c r="K291" s="7">
        <v>28384866</v>
      </c>
      <c r="L291" s="8">
        <v>28384866</v>
      </c>
    </row>
    <row r="292" spans="1:12" s="23" customFormat="1" ht="14" x14ac:dyDescent="0.3">
      <c r="A292" s="18">
        <v>119</v>
      </c>
      <c r="B292" s="19" t="s">
        <v>3</v>
      </c>
      <c r="C292" s="20" t="s">
        <v>76</v>
      </c>
      <c r="D292" s="20" t="str">
        <f t="shared" si="11"/>
        <v/>
      </c>
      <c r="E292" s="5">
        <v>45626</v>
      </c>
      <c r="F292" s="20" t="s">
        <v>14</v>
      </c>
      <c r="G292" s="7">
        <v>3527000</v>
      </c>
      <c r="H292" s="7">
        <v>0</v>
      </c>
      <c r="I292" s="7">
        <f>OPERATORS[[#This Row],[Total Sales]]-OPERATORS[[#This Row],[Total Payouts]]</f>
        <v>3527000</v>
      </c>
      <c r="J292" s="7" t="s">
        <v>20</v>
      </c>
      <c r="K292" s="7">
        <v>1058100</v>
      </c>
      <c r="L292" s="8">
        <v>1058100</v>
      </c>
    </row>
    <row r="293" spans="1:12" s="23" customFormat="1" ht="14" x14ac:dyDescent="0.3">
      <c r="A293" s="18">
        <f>ROW(A292)</f>
        <v>292</v>
      </c>
      <c r="B293" s="19" t="s">
        <v>3</v>
      </c>
      <c r="C293" s="20" t="s">
        <v>61</v>
      </c>
      <c r="D293" s="20" t="str">
        <f t="shared" si="11"/>
        <v/>
      </c>
      <c r="E293" s="5">
        <v>45626</v>
      </c>
      <c r="F293" s="20" t="s">
        <v>14</v>
      </c>
      <c r="G293" s="7">
        <v>2433264570</v>
      </c>
      <c r="H293" s="7">
        <v>2286102340</v>
      </c>
      <c r="I293" s="7">
        <f>OPERATORS[[#This Row],[Total Sales]]-OPERATORS[[#This Row],[Total Payouts]]</f>
        <v>147162230</v>
      </c>
      <c r="J293" s="7" t="s">
        <v>20</v>
      </c>
      <c r="K293" s="7">
        <v>46612254</v>
      </c>
      <c r="L293" s="8">
        <v>46612254</v>
      </c>
    </row>
    <row r="294" spans="1:12" s="23" customFormat="1" ht="14" x14ac:dyDescent="0.3">
      <c r="A294" s="18">
        <v>120</v>
      </c>
      <c r="B294" s="19" t="s">
        <v>12</v>
      </c>
      <c r="C294" s="20" t="s">
        <v>45</v>
      </c>
      <c r="D294" s="20" t="str">
        <f t="shared" si="11"/>
        <v/>
      </c>
      <c r="E294" s="5">
        <v>45626</v>
      </c>
      <c r="F294" s="20" t="s">
        <v>14</v>
      </c>
      <c r="G294" s="7">
        <v>4452040423</v>
      </c>
      <c r="H294" s="7">
        <v>2937500196</v>
      </c>
      <c r="I294" s="7">
        <f>OPERATORS[[#This Row],[Total Sales]]-OPERATORS[[#This Row],[Total Payouts]]</f>
        <v>1514540227</v>
      </c>
      <c r="J294" s="7">
        <v>440625029</v>
      </c>
      <c r="K294" s="7">
        <v>302908045</v>
      </c>
      <c r="L294" s="38">
        <v>743533075</v>
      </c>
    </row>
    <row r="295" spans="1:12" s="23" customFormat="1" ht="14" x14ac:dyDescent="0.3">
      <c r="A295" s="18">
        <f>ROW(A294)</f>
        <v>294</v>
      </c>
      <c r="B295" s="19" t="s">
        <v>16</v>
      </c>
      <c r="C295" s="20" t="s">
        <v>45</v>
      </c>
      <c r="D295" s="20" t="str">
        <f t="shared" si="11"/>
        <v/>
      </c>
      <c r="E295" s="5">
        <v>45626</v>
      </c>
      <c r="F295" s="20" t="s">
        <v>14</v>
      </c>
      <c r="G295" s="7">
        <v>4247979848</v>
      </c>
      <c r="H295" s="7">
        <v>3229974611</v>
      </c>
      <c r="I295" s="7">
        <f>OPERATORS[[#This Row],[Total Sales]]-OPERATORS[[#This Row],[Total Payouts]]</f>
        <v>1018005237</v>
      </c>
      <c r="J295" s="7">
        <v>0</v>
      </c>
      <c r="K295" s="7">
        <v>305401571</v>
      </c>
      <c r="L295" s="8">
        <v>305401571</v>
      </c>
    </row>
    <row r="296" spans="1:12" s="23" customFormat="1" ht="14" x14ac:dyDescent="0.3">
      <c r="A296" s="18">
        <v>121</v>
      </c>
      <c r="B296" s="19" t="s">
        <v>3</v>
      </c>
      <c r="C296" s="20" t="s">
        <v>52</v>
      </c>
      <c r="D296" s="20" t="str">
        <f t="shared" si="11"/>
        <v/>
      </c>
      <c r="E296" s="5">
        <v>45626</v>
      </c>
      <c r="F296" s="20" t="s">
        <v>14</v>
      </c>
      <c r="G296" s="7">
        <v>84215000</v>
      </c>
      <c r="H296" s="7">
        <v>18385000</v>
      </c>
      <c r="I296" s="7">
        <f>OPERATORS[[#This Row],[Total Sales]]-OPERATORS[[#This Row],[Total Payouts]]</f>
        <v>65830000</v>
      </c>
      <c r="J296" s="7" t="s">
        <v>20</v>
      </c>
      <c r="K296" s="7">
        <v>19749000</v>
      </c>
      <c r="L296" s="8">
        <v>19749000</v>
      </c>
    </row>
    <row r="297" spans="1:12" s="23" customFormat="1" ht="14" x14ac:dyDescent="0.3">
      <c r="A297" s="18">
        <f>ROW(A296)</f>
        <v>296</v>
      </c>
      <c r="B297" s="19" t="s">
        <v>12</v>
      </c>
      <c r="C297" s="20" t="s">
        <v>46</v>
      </c>
      <c r="D297" s="20" t="str">
        <f t="shared" si="11"/>
        <v/>
      </c>
      <c r="E297" s="5">
        <v>45626</v>
      </c>
      <c r="F297" s="20" t="s">
        <v>14</v>
      </c>
      <c r="G297" s="7">
        <v>257565616</v>
      </c>
      <c r="H297" s="7">
        <v>136305559</v>
      </c>
      <c r="I297" s="7">
        <f>OPERATORS[[#This Row],[Total Sales]]-OPERATORS[[#This Row],[Total Payouts]]</f>
        <v>121260057</v>
      </c>
      <c r="J297" s="7">
        <v>20445834</v>
      </c>
      <c r="K297" s="7">
        <v>24632913</v>
      </c>
      <c r="L297" s="8">
        <v>45078747</v>
      </c>
    </row>
    <row r="298" spans="1:12" s="23" customFormat="1" ht="14" x14ac:dyDescent="0.3">
      <c r="A298" s="18">
        <v>122</v>
      </c>
      <c r="B298" s="19" t="s">
        <v>16</v>
      </c>
      <c r="C298" s="20" t="s">
        <v>46</v>
      </c>
      <c r="D298" s="20" t="str">
        <f t="shared" si="11"/>
        <v/>
      </c>
      <c r="E298" s="5">
        <v>45626</v>
      </c>
      <c r="F298" s="20" t="s">
        <v>14</v>
      </c>
      <c r="G298" s="7">
        <v>1863122412</v>
      </c>
      <c r="H298" s="7">
        <v>1671804250</v>
      </c>
      <c r="I298" s="7">
        <f>OPERATORS[[#This Row],[Total Sales]]-OPERATORS[[#This Row],[Total Payouts]]</f>
        <v>191318162</v>
      </c>
      <c r="J298" s="7" t="s">
        <v>20</v>
      </c>
      <c r="K298" s="7">
        <v>57395449</v>
      </c>
      <c r="L298" s="8">
        <v>57395449</v>
      </c>
    </row>
    <row r="299" spans="1:12" s="23" customFormat="1" ht="14" x14ac:dyDescent="0.3">
      <c r="A299" s="18">
        <f>ROW(A298)</f>
        <v>298</v>
      </c>
      <c r="B299" s="19" t="s">
        <v>16</v>
      </c>
      <c r="C299" s="20" t="s">
        <v>38</v>
      </c>
      <c r="D299" s="20" t="str">
        <f t="shared" si="11"/>
        <v/>
      </c>
      <c r="E299" s="5">
        <v>45626</v>
      </c>
      <c r="F299" s="20" t="s">
        <v>14</v>
      </c>
      <c r="G299" s="7">
        <v>169843000</v>
      </c>
      <c r="H299" s="7">
        <v>130087800</v>
      </c>
      <c r="I299" s="7">
        <f>OPERATORS[[#This Row],[Total Sales]]-OPERATORS[[#This Row],[Total Payouts]]</f>
        <v>39755200</v>
      </c>
      <c r="J299" s="7" t="s">
        <v>20</v>
      </c>
      <c r="K299" s="7">
        <v>11926560</v>
      </c>
      <c r="L299" s="8">
        <v>11926560</v>
      </c>
    </row>
    <row r="300" spans="1:12" s="23" customFormat="1" ht="14" x14ac:dyDescent="0.3">
      <c r="A300" s="18">
        <f>ROW(A299)</f>
        <v>299</v>
      </c>
      <c r="B300" s="19" t="s">
        <v>12</v>
      </c>
      <c r="C300" s="20" t="s">
        <v>30</v>
      </c>
      <c r="D300" s="20" t="str">
        <f t="shared" si="11"/>
        <v/>
      </c>
      <c r="E300" s="5">
        <v>45626</v>
      </c>
      <c r="F300" s="20" t="s">
        <v>14</v>
      </c>
      <c r="G300" s="7">
        <v>1200944584</v>
      </c>
      <c r="H300" s="7">
        <v>1053704372</v>
      </c>
      <c r="I300" s="7">
        <f>OPERATORS[[#This Row],[Total Sales]]-OPERATORS[[#This Row],[Total Payouts]]</f>
        <v>147240212</v>
      </c>
      <c r="J300" s="7">
        <v>158055656</v>
      </c>
      <c r="K300" s="7">
        <v>31476560</v>
      </c>
      <c r="L300" s="8">
        <v>189532215</v>
      </c>
    </row>
    <row r="301" spans="1:12" s="23" customFormat="1" ht="14" x14ac:dyDescent="0.3">
      <c r="A301" s="18">
        <v>124</v>
      </c>
      <c r="B301" s="19" t="s">
        <v>12</v>
      </c>
      <c r="C301" s="20" t="s">
        <v>41</v>
      </c>
      <c r="D301" s="20" t="str">
        <f t="shared" si="11"/>
        <v/>
      </c>
      <c r="E301" s="5">
        <v>45626</v>
      </c>
      <c r="F301" s="20" t="s">
        <v>14</v>
      </c>
      <c r="G301" s="7">
        <v>265962976917</v>
      </c>
      <c r="H301" s="7">
        <v>229502051382</v>
      </c>
      <c r="I301" s="7">
        <f>OPERATORS[[#This Row],[Total Sales]]-OPERATORS[[#This Row],[Total Payouts]]</f>
        <v>36460925535</v>
      </c>
      <c r="J301" s="7">
        <v>34425307707</v>
      </c>
      <c r="K301" s="7">
        <v>7298966595</v>
      </c>
      <c r="L301" s="8">
        <v>41724274302</v>
      </c>
    </row>
    <row r="302" spans="1:12" s="23" customFormat="1" ht="14" x14ac:dyDescent="0.3">
      <c r="A302" s="18">
        <f>ROW(A301)</f>
        <v>301</v>
      </c>
      <c r="B302" s="19" t="s">
        <v>3</v>
      </c>
      <c r="C302" s="20" t="s">
        <v>41</v>
      </c>
      <c r="D302" s="20" t="str">
        <f t="shared" si="11"/>
        <v/>
      </c>
      <c r="E302" s="5">
        <v>45626</v>
      </c>
      <c r="F302" s="20" t="s">
        <v>14</v>
      </c>
      <c r="G302" s="7">
        <v>272178377902</v>
      </c>
      <c r="H302" s="7">
        <v>268279980814</v>
      </c>
      <c r="I302" s="7">
        <f>OPERATORS[[#This Row],[Total Sales]]-OPERATORS[[#This Row],[Total Payouts]]</f>
        <v>3898397088</v>
      </c>
      <c r="J302" s="7" t="s">
        <v>20</v>
      </c>
      <c r="K302" s="7">
        <v>1294892888</v>
      </c>
      <c r="L302" s="8">
        <v>1294892888</v>
      </c>
    </row>
    <row r="303" spans="1:12" s="23" customFormat="1" ht="14" x14ac:dyDescent="0.3">
      <c r="A303" s="18">
        <v>125</v>
      </c>
      <c r="B303" s="19" t="s">
        <v>12</v>
      </c>
      <c r="C303" s="20" t="s">
        <v>60</v>
      </c>
      <c r="D303" s="20" t="str">
        <f t="shared" si="11"/>
        <v/>
      </c>
      <c r="E303" s="5">
        <v>45626</v>
      </c>
      <c r="F303" s="20" t="s">
        <v>14</v>
      </c>
      <c r="G303" s="7">
        <v>33234480727</v>
      </c>
      <c r="H303" s="7">
        <v>31470141427</v>
      </c>
      <c r="I303" s="7">
        <f>OPERATORS[[#This Row],[Total Sales]]-OPERATORS[[#This Row],[Total Payouts]]</f>
        <v>1764339300</v>
      </c>
      <c r="J303" s="7">
        <v>4720521214</v>
      </c>
      <c r="K303" s="7">
        <v>353725111</v>
      </c>
      <c r="L303" s="38">
        <v>5074246325</v>
      </c>
    </row>
    <row r="304" spans="1:12" s="23" customFormat="1" ht="14" x14ac:dyDescent="0.3">
      <c r="A304" s="18">
        <f>ROW(A303)</f>
        <v>303</v>
      </c>
      <c r="B304" s="19" t="s">
        <v>16</v>
      </c>
      <c r="C304" s="20" t="s">
        <v>60</v>
      </c>
      <c r="D304" s="20" t="str">
        <f t="shared" si="11"/>
        <v/>
      </c>
      <c r="E304" s="5">
        <v>45626</v>
      </c>
      <c r="F304" s="20" t="s">
        <v>14</v>
      </c>
      <c r="G304" s="7">
        <v>9723417117</v>
      </c>
      <c r="H304" s="7">
        <v>7455879278</v>
      </c>
      <c r="I304" s="7">
        <f>OPERATORS[[#This Row],[Total Sales]]-OPERATORS[[#This Row],[Total Payouts]]</f>
        <v>2267537839</v>
      </c>
      <c r="J304" s="7" t="s">
        <v>20</v>
      </c>
      <c r="K304" s="7">
        <v>750119870</v>
      </c>
      <c r="L304" s="8">
        <v>750119870</v>
      </c>
    </row>
    <row r="305" spans="1:12" s="23" customFormat="1" ht="14" x14ac:dyDescent="0.3">
      <c r="A305" s="18">
        <v>126</v>
      </c>
      <c r="B305" s="19" t="s">
        <v>12</v>
      </c>
      <c r="C305" s="20" t="s">
        <v>72</v>
      </c>
      <c r="D305" s="20" t="str">
        <f t="shared" si="11"/>
        <v/>
      </c>
      <c r="E305" s="5">
        <v>45626</v>
      </c>
      <c r="F305" s="20" t="s">
        <v>14</v>
      </c>
      <c r="G305" s="7">
        <v>79978445</v>
      </c>
      <c r="H305" s="7">
        <v>88852683</v>
      </c>
      <c r="I305" s="7">
        <f>OPERATORS[[#This Row],[Total Sales]]-OPERATORS[[#This Row],[Total Payouts]]</f>
        <v>-8874238</v>
      </c>
      <c r="J305" s="7">
        <v>13327902</v>
      </c>
      <c r="K305" s="7">
        <v>3629200</v>
      </c>
      <c r="L305" s="8">
        <v>16957102</v>
      </c>
    </row>
    <row r="306" spans="1:12" s="23" customFormat="1" ht="14" x14ac:dyDescent="0.3">
      <c r="A306" s="18">
        <f>ROW(A305)</f>
        <v>305</v>
      </c>
      <c r="B306" s="19" t="s">
        <v>16</v>
      </c>
      <c r="C306" s="20" t="s">
        <v>72</v>
      </c>
      <c r="D306" s="20" t="str">
        <f t="shared" si="11"/>
        <v/>
      </c>
      <c r="E306" s="5">
        <v>45626</v>
      </c>
      <c r="F306" s="20" t="s">
        <v>14</v>
      </c>
      <c r="G306" s="7">
        <v>115173909</v>
      </c>
      <c r="H306" s="7">
        <v>110933271</v>
      </c>
      <c r="I306" s="7">
        <f>OPERATORS[[#This Row],[Total Sales]]-OPERATORS[[#This Row],[Total Payouts]]</f>
        <v>4240638</v>
      </c>
      <c r="J306" s="7" t="s">
        <v>20</v>
      </c>
      <c r="K306" s="7">
        <v>1678293</v>
      </c>
      <c r="L306" s="8">
        <v>1678293</v>
      </c>
    </row>
    <row r="307" spans="1:12" s="23" customFormat="1" ht="14" x14ac:dyDescent="0.3">
      <c r="A307" s="18">
        <v>127</v>
      </c>
      <c r="B307" s="19" t="s">
        <v>16</v>
      </c>
      <c r="C307" s="20" t="s">
        <v>59</v>
      </c>
      <c r="D307" s="20" t="str">
        <f t="shared" si="11"/>
        <v/>
      </c>
      <c r="E307" s="5">
        <v>45626</v>
      </c>
      <c r="F307" s="20" t="s">
        <v>14</v>
      </c>
      <c r="G307" s="7">
        <v>47862300</v>
      </c>
      <c r="H307" s="7">
        <v>39152480</v>
      </c>
      <c r="I307" s="7">
        <f>OPERATORS[[#This Row],[Total Sales]]-OPERATORS[[#This Row],[Total Payouts]]</f>
        <v>8709820</v>
      </c>
      <c r="J307" s="7" t="s">
        <v>20</v>
      </c>
      <c r="K307" s="7">
        <v>2612946</v>
      </c>
      <c r="L307" s="8">
        <v>2612946</v>
      </c>
    </row>
    <row r="308" spans="1:12" s="23" customFormat="1" ht="14" x14ac:dyDescent="0.3">
      <c r="A308" s="18">
        <f>ROW(A307)</f>
        <v>307</v>
      </c>
      <c r="B308" s="19" t="s">
        <v>3</v>
      </c>
      <c r="C308" s="20" t="s">
        <v>33</v>
      </c>
      <c r="D308" s="20" t="str">
        <f t="shared" si="11"/>
        <v/>
      </c>
      <c r="E308" s="5">
        <v>45626</v>
      </c>
      <c r="F308" s="20" t="s">
        <v>14</v>
      </c>
      <c r="G308" s="7">
        <v>358856000</v>
      </c>
      <c r="H308" s="7">
        <v>334748000</v>
      </c>
      <c r="I308" s="7">
        <f>OPERATORS[[#This Row],[Total Sales]]-OPERATORS[[#This Row],[Total Payouts]]</f>
        <v>24108000</v>
      </c>
      <c r="J308" s="7" t="s">
        <v>20</v>
      </c>
      <c r="K308" s="7">
        <v>12060900</v>
      </c>
      <c r="L308" s="8">
        <v>12060900</v>
      </c>
    </row>
    <row r="309" spans="1:12" s="23" customFormat="1" ht="14" x14ac:dyDescent="0.3">
      <c r="A309" s="18">
        <v>128</v>
      </c>
      <c r="B309" s="19" t="s">
        <v>3</v>
      </c>
      <c r="C309" s="20" t="s">
        <v>53</v>
      </c>
      <c r="D309" s="20" t="str">
        <f t="shared" si="11"/>
        <v/>
      </c>
      <c r="E309" s="5">
        <v>45626</v>
      </c>
      <c r="F309" s="20" t="s">
        <v>14</v>
      </c>
      <c r="G309" s="7">
        <v>583618500</v>
      </c>
      <c r="H309" s="7">
        <v>481454000</v>
      </c>
      <c r="I309" s="7">
        <f>OPERATORS[[#This Row],[Total Sales]]-OPERATORS[[#This Row],[Total Payouts]]</f>
        <v>102164500</v>
      </c>
      <c r="J309" s="7" t="s">
        <v>20</v>
      </c>
      <c r="K309" s="7">
        <v>55530300</v>
      </c>
      <c r="L309" s="8">
        <v>55530300</v>
      </c>
    </row>
    <row r="310" spans="1:12" s="23" customFormat="1" ht="14" x14ac:dyDescent="0.3">
      <c r="A310" s="18">
        <f>ROW(A309)</f>
        <v>309</v>
      </c>
      <c r="B310" s="19" t="s">
        <v>3</v>
      </c>
      <c r="C310" s="20" t="s">
        <v>63</v>
      </c>
      <c r="D310" s="20" t="str">
        <f t="shared" si="11"/>
        <v/>
      </c>
      <c r="E310" s="5">
        <v>45626</v>
      </c>
      <c r="F310" s="20" t="s">
        <v>14</v>
      </c>
      <c r="G310" s="7">
        <v>600581500</v>
      </c>
      <c r="H310" s="7">
        <v>351616000</v>
      </c>
      <c r="I310" s="7">
        <f>OPERATORS[[#This Row],[Total Sales]]-OPERATORS[[#This Row],[Total Payouts]]</f>
        <v>248965500</v>
      </c>
      <c r="J310" s="7" t="s">
        <v>20</v>
      </c>
      <c r="K310" s="7">
        <v>84484200</v>
      </c>
      <c r="L310" s="8">
        <v>84484200</v>
      </c>
    </row>
    <row r="311" spans="1:12" s="23" customFormat="1" ht="14" x14ac:dyDescent="0.3">
      <c r="A311" s="18">
        <v>129</v>
      </c>
      <c r="B311" s="19" t="s">
        <v>12</v>
      </c>
      <c r="C311" s="20" t="s">
        <v>42</v>
      </c>
      <c r="D311" s="20" t="str">
        <f t="shared" si="11"/>
        <v/>
      </c>
      <c r="E311" s="5">
        <v>45626</v>
      </c>
      <c r="F311" s="20" t="s">
        <v>14</v>
      </c>
      <c r="G311" s="7">
        <v>75563613</v>
      </c>
      <c r="H311" s="7">
        <v>47667762</v>
      </c>
      <c r="I311" s="7">
        <f>OPERATORS[[#This Row],[Total Sales]]-OPERATORS[[#This Row],[Total Payouts]]</f>
        <v>27895851</v>
      </c>
      <c r="J311" s="7">
        <v>7150164</v>
      </c>
      <c r="K311" s="7">
        <v>5615621</v>
      </c>
      <c r="L311" s="8">
        <v>12765785</v>
      </c>
    </row>
    <row r="312" spans="1:12" s="23" customFormat="1" ht="14" x14ac:dyDescent="0.3">
      <c r="A312" s="18">
        <f>ROW(A311)</f>
        <v>311</v>
      </c>
      <c r="B312" s="19" t="s">
        <v>3</v>
      </c>
      <c r="C312" s="20" t="s">
        <v>42</v>
      </c>
      <c r="D312" s="20" t="str">
        <f t="shared" si="11"/>
        <v/>
      </c>
      <c r="E312" s="5">
        <v>45626</v>
      </c>
      <c r="F312" s="20" t="s">
        <v>14</v>
      </c>
      <c r="G312" s="7">
        <v>425373982</v>
      </c>
      <c r="H312" s="7">
        <v>398466721</v>
      </c>
      <c r="I312" s="7">
        <f>OPERATORS[[#This Row],[Total Sales]]-OPERATORS[[#This Row],[Total Payouts]]</f>
        <v>26907261</v>
      </c>
      <c r="J312" s="7" t="s">
        <v>20</v>
      </c>
      <c r="K312" s="7">
        <v>9144075</v>
      </c>
      <c r="L312" s="8">
        <v>9144075</v>
      </c>
    </row>
    <row r="313" spans="1:12" s="23" customFormat="1" ht="14" x14ac:dyDescent="0.3">
      <c r="A313" s="18">
        <v>131</v>
      </c>
      <c r="B313" s="19" t="s">
        <v>16</v>
      </c>
      <c r="C313" s="20" t="s">
        <v>77</v>
      </c>
      <c r="D313" s="20" t="str">
        <f t="shared" si="11"/>
        <v/>
      </c>
      <c r="E313" s="5">
        <v>45626</v>
      </c>
      <c r="F313" s="20" t="s">
        <v>14</v>
      </c>
      <c r="G313" s="7">
        <v>627683700</v>
      </c>
      <c r="H313" s="7">
        <v>521894750</v>
      </c>
      <c r="I313" s="7">
        <f>OPERATORS[[#This Row],[Total Sales]]-OPERATORS[[#This Row],[Total Payouts]]</f>
        <v>105788950</v>
      </c>
      <c r="J313" s="7" t="s">
        <v>20</v>
      </c>
      <c r="K313" s="7">
        <v>31760118</v>
      </c>
      <c r="L313" s="8">
        <v>31760118</v>
      </c>
    </row>
    <row r="314" spans="1:12" s="23" customFormat="1" ht="14" x14ac:dyDescent="0.3">
      <c r="A314" s="18">
        <f>ROW(A313)</f>
        <v>313</v>
      </c>
      <c r="B314" s="19" t="s">
        <v>3</v>
      </c>
      <c r="C314" s="20" t="s">
        <v>48</v>
      </c>
      <c r="D314" s="20" t="str">
        <f t="shared" si="11"/>
        <v/>
      </c>
      <c r="E314" s="5">
        <v>45626</v>
      </c>
      <c r="F314" s="20" t="s">
        <v>14</v>
      </c>
      <c r="G314" s="7">
        <v>1437815000</v>
      </c>
      <c r="H314" s="7">
        <v>30386000</v>
      </c>
      <c r="I314" s="7">
        <f>OPERATORS[[#This Row],[Total Sales]]-OPERATORS[[#This Row],[Total Payouts]]</f>
        <v>1407429000</v>
      </c>
      <c r="J314" s="7" t="s">
        <v>20</v>
      </c>
      <c r="K314" s="7">
        <v>431344500</v>
      </c>
      <c r="L314" s="8">
        <v>431344500</v>
      </c>
    </row>
    <row r="315" spans="1:12" s="23" customFormat="1" ht="14" x14ac:dyDescent="0.3">
      <c r="A315" s="18">
        <v>132</v>
      </c>
      <c r="B315" s="19" t="s">
        <v>3</v>
      </c>
      <c r="C315" s="20" t="s">
        <v>56</v>
      </c>
      <c r="D315" s="20">
        <v>1000035508</v>
      </c>
      <c r="E315" s="5">
        <v>45626</v>
      </c>
      <c r="F315" s="20" t="s">
        <v>14</v>
      </c>
      <c r="G315" s="7">
        <v>355680957</v>
      </c>
      <c r="H315" s="7">
        <v>91065203</v>
      </c>
      <c r="I315" s="7">
        <f>OPERATORS[[#This Row],[Total Sales]]-OPERATORS[[#This Row],[Total Payouts]]</f>
        <v>264615754</v>
      </c>
      <c r="J315" s="7">
        <v>0</v>
      </c>
      <c r="K315" s="7">
        <v>106704287</v>
      </c>
      <c r="L315" s="8">
        <v>106704287</v>
      </c>
    </row>
    <row r="316" spans="1:12" s="23" customFormat="1" ht="14" x14ac:dyDescent="0.3">
      <c r="A316" s="18">
        <f>ROW(A315)</f>
        <v>315</v>
      </c>
      <c r="B316" s="19" t="s">
        <v>3</v>
      </c>
      <c r="C316" s="20" t="s">
        <v>57</v>
      </c>
      <c r="D316" s="20" t="str">
        <f t="shared" ref="D316:D351" si="12">IFERROR(VLOOKUP(C316,OPerators_Range,2,FALSE),"")</f>
        <v/>
      </c>
      <c r="E316" s="5">
        <v>45626</v>
      </c>
      <c r="F316" s="20" t="s">
        <v>14</v>
      </c>
      <c r="G316" s="7">
        <v>83460000</v>
      </c>
      <c r="H316" s="7">
        <v>19045000</v>
      </c>
      <c r="I316" s="7">
        <f>OPERATORS[[#This Row],[Total Sales]]-OPERATORS[[#This Row],[Total Payouts]]</f>
        <v>64415000</v>
      </c>
      <c r="J316" s="7" t="s">
        <v>20</v>
      </c>
      <c r="K316" s="7">
        <v>19324500</v>
      </c>
      <c r="L316" s="8">
        <v>19324500</v>
      </c>
    </row>
    <row r="317" spans="1:12" s="23" customFormat="1" ht="14" x14ac:dyDescent="0.3">
      <c r="A317" s="18">
        <v>145</v>
      </c>
      <c r="B317" s="19" t="s">
        <v>12</v>
      </c>
      <c r="C317" s="20" t="s">
        <v>74</v>
      </c>
      <c r="D317" s="20" t="str">
        <f t="shared" si="12"/>
        <v/>
      </c>
      <c r="E317" s="5">
        <v>45626</v>
      </c>
      <c r="F317" s="20" t="s">
        <v>14</v>
      </c>
      <c r="G317" s="7">
        <v>85536800</v>
      </c>
      <c r="H317" s="7">
        <v>51203400</v>
      </c>
      <c r="I317" s="7">
        <f>OPERATORS[[#This Row],[Total Sales]]-OPERATORS[[#This Row],[Total Payouts]]</f>
        <v>34333400</v>
      </c>
      <c r="J317" s="7">
        <v>7680510</v>
      </c>
      <c r="K317" s="7">
        <v>7572400</v>
      </c>
      <c r="L317" s="8">
        <v>15252910</v>
      </c>
    </row>
    <row r="318" spans="1:12" s="23" customFormat="1" ht="14" x14ac:dyDescent="0.3">
      <c r="A318" s="18">
        <f>ROW(A317)</f>
        <v>317</v>
      </c>
      <c r="B318" s="19" t="s">
        <v>12</v>
      </c>
      <c r="C318" s="20" t="s">
        <v>31</v>
      </c>
      <c r="D318" s="20" t="str">
        <f t="shared" si="12"/>
        <v/>
      </c>
      <c r="E318" s="5">
        <v>45626</v>
      </c>
      <c r="F318" s="20" t="s">
        <v>14</v>
      </c>
      <c r="G318" s="7">
        <v>26927543</v>
      </c>
      <c r="H318" s="7">
        <v>18899922</v>
      </c>
      <c r="I318" s="7">
        <f>OPERATORS[[#This Row],[Total Sales]]-OPERATORS[[#This Row],[Total Payouts]]</f>
        <v>8027621</v>
      </c>
      <c r="J318" s="7">
        <v>2834988</v>
      </c>
      <c r="K318" s="7">
        <v>2065526</v>
      </c>
      <c r="L318" s="8">
        <v>4900514</v>
      </c>
    </row>
    <row r="319" spans="1:12" s="23" customFormat="1" ht="14" x14ac:dyDescent="0.3">
      <c r="A319" s="18">
        <v>151</v>
      </c>
      <c r="B319" s="19" t="s">
        <v>17</v>
      </c>
      <c r="C319" s="20" t="s">
        <v>62</v>
      </c>
      <c r="D319" s="20" t="str">
        <f t="shared" si="12"/>
        <v/>
      </c>
      <c r="E319" s="5">
        <v>45626</v>
      </c>
      <c r="F319" s="20" t="s">
        <v>14</v>
      </c>
      <c r="G319" s="7">
        <v>407458000</v>
      </c>
      <c r="H319" s="7">
        <v>196864707</v>
      </c>
      <c r="I319" s="7">
        <f>OPERATORS[[#This Row],[Total Sales]]-OPERATORS[[#This Row],[Total Payouts]]</f>
        <v>210593293</v>
      </c>
      <c r="J319" s="7"/>
      <c r="K319" s="7">
        <v>63177988</v>
      </c>
      <c r="L319" s="8">
        <v>63177988</v>
      </c>
    </row>
    <row r="320" spans="1:12" s="23" customFormat="1" ht="14" x14ac:dyDescent="0.3">
      <c r="A320" s="18">
        <v>153</v>
      </c>
      <c r="B320" s="19" t="s">
        <v>3</v>
      </c>
      <c r="C320" s="20" t="s">
        <v>66</v>
      </c>
      <c r="D320" s="20" t="str">
        <f t="shared" si="12"/>
        <v/>
      </c>
      <c r="E320" s="5">
        <v>45626</v>
      </c>
      <c r="F320" s="20" t="s">
        <v>14</v>
      </c>
      <c r="G320" s="7" t="s">
        <v>20</v>
      </c>
      <c r="H320" s="7" t="s">
        <v>20</v>
      </c>
      <c r="I320" s="7">
        <v>0</v>
      </c>
      <c r="J320" s="7"/>
      <c r="K320" s="7">
        <v>0</v>
      </c>
      <c r="L320" s="8">
        <v>0</v>
      </c>
    </row>
    <row r="321" spans="1:12" s="23" customFormat="1" ht="14" x14ac:dyDescent="0.3">
      <c r="A321" s="18">
        <v>155</v>
      </c>
      <c r="B321" s="19" t="s">
        <v>12</v>
      </c>
      <c r="C321" s="20" t="s">
        <v>68</v>
      </c>
      <c r="D321" s="20" t="str">
        <f t="shared" si="12"/>
        <v/>
      </c>
      <c r="E321" s="5">
        <v>45626</v>
      </c>
      <c r="F321" s="20" t="s">
        <v>14</v>
      </c>
      <c r="G321" s="7">
        <v>118311801</v>
      </c>
      <c r="H321" s="7">
        <v>108766275</v>
      </c>
      <c r="I321" s="7">
        <f>OPERATORS[[#This Row],[Total Sales]]-OPERATORS[[#This Row],[Total Payouts]]</f>
        <v>9545526</v>
      </c>
      <c r="J321" s="7">
        <v>16314941</v>
      </c>
      <c r="K321" s="7">
        <v>5809303</v>
      </c>
      <c r="L321" s="8">
        <v>22124245</v>
      </c>
    </row>
    <row r="322" spans="1:12" s="23" customFormat="1" ht="14" x14ac:dyDescent="0.3">
      <c r="A322" s="18">
        <f>ROW(A321)</f>
        <v>321</v>
      </c>
      <c r="B322" s="19" t="s">
        <v>12</v>
      </c>
      <c r="C322" s="20" t="s">
        <v>32</v>
      </c>
      <c r="D322" s="20" t="str">
        <f t="shared" si="12"/>
        <v/>
      </c>
      <c r="E322" s="5">
        <v>45626</v>
      </c>
      <c r="F322" s="20" t="s">
        <v>14</v>
      </c>
      <c r="G322" s="7">
        <v>483941009</v>
      </c>
      <c r="H322" s="7">
        <v>323411657</v>
      </c>
      <c r="I322" s="7">
        <f>OPERATORS[[#This Row],[Total Sales]]-OPERATORS[[#This Row],[Total Payouts]]</f>
        <v>160529352</v>
      </c>
      <c r="J322" s="7">
        <v>48511749</v>
      </c>
      <c r="K322" s="7">
        <v>32130795</v>
      </c>
      <c r="L322" s="8">
        <v>80642543</v>
      </c>
    </row>
    <row r="323" spans="1:12" s="23" customFormat="1" ht="14" x14ac:dyDescent="0.3">
      <c r="A323" s="18">
        <v>159</v>
      </c>
      <c r="B323" s="19" t="s">
        <v>3</v>
      </c>
      <c r="C323" s="20" t="s">
        <v>32</v>
      </c>
      <c r="D323" s="20" t="str">
        <f t="shared" si="12"/>
        <v/>
      </c>
      <c r="E323" s="5">
        <v>45626</v>
      </c>
      <c r="F323" s="20" t="s">
        <v>14</v>
      </c>
      <c r="G323" s="7">
        <v>105905534</v>
      </c>
      <c r="H323" s="7">
        <v>67483729</v>
      </c>
      <c r="I323" s="7">
        <f>OPERATORS[[#This Row],[Total Sales]]-OPERATORS[[#This Row],[Total Payouts]]</f>
        <v>38421805</v>
      </c>
      <c r="J323" s="7"/>
      <c r="K323" s="7">
        <v>15633585</v>
      </c>
      <c r="L323" s="8">
        <v>15633585</v>
      </c>
    </row>
    <row r="324" spans="1:12" s="23" customFormat="1" ht="14" x14ac:dyDescent="0.3">
      <c r="A324" s="18">
        <f>ROW(A323)</f>
        <v>323</v>
      </c>
      <c r="B324" s="19" t="s">
        <v>12</v>
      </c>
      <c r="C324" s="20" t="s">
        <v>28</v>
      </c>
      <c r="D324" s="20" t="str">
        <f t="shared" si="12"/>
        <v/>
      </c>
      <c r="E324" s="5">
        <v>45626</v>
      </c>
      <c r="F324" s="20" t="s">
        <v>14</v>
      </c>
      <c r="G324" s="7">
        <v>1267700071</v>
      </c>
      <c r="H324" s="7">
        <v>1010025799</v>
      </c>
      <c r="I324" s="7">
        <f>OPERATORS[[#This Row],[Total Sales]]-OPERATORS[[#This Row],[Total Payouts]]</f>
        <v>257674272</v>
      </c>
      <c r="J324" s="7">
        <v>151503870</v>
      </c>
      <c r="K324" s="7">
        <v>51534854</v>
      </c>
      <c r="L324" s="8">
        <v>203038724</v>
      </c>
    </row>
    <row r="325" spans="1:12" s="23" customFormat="1" ht="14" x14ac:dyDescent="0.3">
      <c r="A325" s="18">
        <v>161</v>
      </c>
      <c r="B325" s="19" t="s">
        <v>3</v>
      </c>
      <c r="C325" s="20" t="s">
        <v>28</v>
      </c>
      <c r="D325" s="20" t="str">
        <f t="shared" si="12"/>
        <v/>
      </c>
      <c r="E325" s="5">
        <v>45626</v>
      </c>
      <c r="F325" s="20" t="s">
        <v>14</v>
      </c>
      <c r="G325" s="7">
        <v>3470697375</v>
      </c>
      <c r="H325" s="7">
        <v>3225212406</v>
      </c>
      <c r="I325" s="7">
        <f>OPERATORS[[#This Row],[Total Sales]]-OPERATORS[[#This Row],[Total Payouts]]</f>
        <v>245484969</v>
      </c>
      <c r="J325" s="7"/>
      <c r="K325" s="7">
        <v>88755800</v>
      </c>
      <c r="L325" s="8">
        <v>88755800</v>
      </c>
    </row>
    <row r="326" spans="1:12" s="23" customFormat="1" ht="14" x14ac:dyDescent="0.3">
      <c r="A326" s="18">
        <v>163</v>
      </c>
      <c r="B326" s="19" t="s">
        <v>12</v>
      </c>
      <c r="C326" s="20" t="s">
        <v>55</v>
      </c>
      <c r="D326" s="20" t="str">
        <f t="shared" si="12"/>
        <v/>
      </c>
      <c r="E326" s="5">
        <v>45626</v>
      </c>
      <c r="F326" s="20" t="s">
        <v>14</v>
      </c>
      <c r="G326" s="7">
        <v>148706846</v>
      </c>
      <c r="H326" s="7">
        <v>94773911</v>
      </c>
      <c r="I326" s="7">
        <f>OPERATORS[[#This Row],[Total Sales]]-OPERATORS[[#This Row],[Total Payouts]]</f>
        <v>53932935</v>
      </c>
      <c r="J326" s="7">
        <v>14216087</v>
      </c>
      <c r="K326" s="7">
        <v>10841052</v>
      </c>
      <c r="L326" s="8">
        <v>25057139</v>
      </c>
    </row>
    <row r="327" spans="1:12" s="23" customFormat="1" ht="14" x14ac:dyDescent="0.3">
      <c r="A327" s="18">
        <f>ROW(A326)</f>
        <v>326</v>
      </c>
      <c r="B327" s="19" t="s">
        <v>3</v>
      </c>
      <c r="C327" s="20" t="s">
        <v>71</v>
      </c>
      <c r="D327" s="20" t="str">
        <f t="shared" si="12"/>
        <v/>
      </c>
      <c r="E327" s="5">
        <v>45626</v>
      </c>
      <c r="F327" s="20" t="s">
        <v>14</v>
      </c>
      <c r="G327" s="7">
        <v>182587200</v>
      </c>
      <c r="H327" s="7">
        <v>58435828</v>
      </c>
      <c r="I327" s="7">
        <f>OPERATORS[[#This Row],[Total Sales]]-OPERATORS[[#This Row],[Total Payouts]]</f>
        <v>124151372</v>
      </c>
      <c r="J327" s="7">
        <v>0</v>
      </c>
      <c r="K327" s="7">
        <v>37245412</v>
      </c>
      <c r="L327" s="8">
        <v>37245412</v>
      </c>
    </row>
    <row r="328" spans="1:12" s="23" customFormat="1" ht="14" x14ac:dyDescent="0.3">
      <c r="A328" s="18">
        <f>ROW(A327)</f>
        <v>327</v>
      </c>
      <c r="B328" s="19" t="s">
        <v>12</v>
      </c>
      <c r="C328" s="20" t="s">
        <v>67</v>
      </c>
      <c r="D328" s="20" t="str">
        <f t="shared" si="12"/>
        <v/>
      </c>
      <c r="E328" s="5">
        <v>45626</v>
      </c>
      <c r="F328" s="20" t="s">
        <v>14</v>
      </c>
      <c r="G328" s="7">
        <v>690544041</v>
      </c>
      <c r="H328" s="7">
        <v>342522446</v>
      </c>
      <c r="I328" s="7">
        <f>OPERATORS[[#This Row],[Total Sales]]-OPERATORS[[#This Row],[Total Payouts]]</f>
        <v>348021595</v>
      </c>
      <c r="J328" s="7">
        <v>51378367</v>
      </c>
      <c r="K328" s="7">
        <v>69926663</v>
      </c>
      <c r="L328" s="8">
        <v>121305030</v>
      </c>
    </row>
    <row r="329" spans="1:12" s="23" customFormat="1" ht="14" x14ac:dyDescent="0.3">
      <c r="A329" s="18">
        <v>172</v>
      </c>
      <c r="B329" s="19" t="s">
        <v>12</v>
      </c>
      <c r="C329" s="20" t="s">
        <v>29</v>
      </c>
      <c r="D329" s="20" t="str">
        <f t="shared" si="12"/>
        <v/>
      </c>
      <c r="E329" s="5">
        <v>45626</v>
      </c>
      <c r="F329" s="20" t="s">
        <v>14</v>
      </c>
      <c r="G329" s="7">
        <v>759064927</v>
      </c>
      <c r="H329" s="7">
        <v>529261136</v>
      </c>
      <c r="I329" s="7">
        <f>OPERATORS[[#This Row],[Total Sales]]-OPERATORS[[#This Row],[Total Payouts]]</f>
        <v>229803791</v>
      </c>
      <c r="J329" s="7">
        <v>79389170</v>
      </c>
      <c r="K329" s="7">
        <v>48080578</v>
      </c>
      <c r="L329" s="8">
        <v>127469748</v>
      </c>
    </row>
    <row r="330" spans="1:12" s="23" customFormat="1" ht="14" x14ac:dyDescent="0.3">
      <c r="A330" s="18">
        <v>189</v>
      </c>
      <c r="B330" s="19" t="s">
        <v>12</v>
      </c>
      <c r="C330" s="20" t="s">
        <v>27</v>
      </c>
      <c r="D330" s="20" t="str">
        <f t="shared" si="12"/>
        <v/>
      </c>
      <c r="E330" s="5">
        <v>45626</v>
      </c>
      <c r="F330" s="20" t="s">
        <v>14</v>
      </c>
      <c r="G330" s="7" t="s">
        <v>20</v>
      </c>
      <c r="H330" s="7" t="s">
        <v>20</v>
      </c>
      <c r="I330" s="7">
        <v>0</v>
      </c>
      <c r="J330" s="7" t="s">
        <v>20</v>
      </c>
      <c r="K330" s="7" t="s">
        <v>20</v>
      </c>
      <c r="L330" s="8" t="s">
        <v>20</v>
      </c>
    </row>
    <row r="331" spans="1:12" s="23" customFormat="1" ht="14" x14ac:dyDescent="0.3">
      <c r="A331" s="18">
        <f>ROW(A330)</f>
        <v>330</v>
      </c>
      <c r="B331" s="19" t="s">
        <v>16</v>
      </c>
      <c r="C331" s="20" t="s">
        <v>27</v>
      </c>
      <c r="D331" s="20" t="str">
        <f t="shared" si="12"/>
        <v/>
      </c>
      <c r="E331" s="5">
        <v>45626</v>
      </c>
      <c r="F331" s="20" t="s">
        <v>14</v>
      </c>
      <c r="G331" s="7">
        <v>84174149</v>
      </c>
      <c r="H331" s="7">
        <v>52473160</v>
      </c>
      <c r="I331" s="7">
        <f>OPERATORS[[#This Row],[Total Sales]]-OPERATORS[[#This Row],[Total Payouts]]</f>
        <v>31700989</v>
      </c>
      <c r="J331" s="7">
        <v>0</v>
      </c>
      <c r="K331" s="7">
        <v>9510297</v>
      </c>
      <c r="L331" s="8">
        <v>9510297</v>
      </c>
    </row>
    <row r="332" spans="1:12" s="23" customFormat="1" ht="14" x14ac:dyDescent="0.3">
      <c r="A332" s="18">
        <f>ROW(A331)</f>
        <v>331</v>
      </c>
      <c r="B332" s="19" t="s">
        <v>3</v>
      </c>
      <c r="C332" s="20" t="s">
        <v>54</v>
      </c>
      <c r="D332" s="20" t="str">
        <f t="shared" si="12"/>
        <v/>
      </c>
      <c r="E332" s="5">
        <v>45626</v>
      </c>
      <c r="F332" s="20" t="s">
        <v>14</v>
      </c>
      <c r="G332" s="7">
        <v>148535000</v>
      </c>
      <c r="H332" s="7">
        <v>97812000</v>
      </c>
      <c r="I332" s="7">
        <v>50723000</v>
      </c>
      <c r="J332" s="7"/>
      <c r="K332" s="7">
        <v>15216900</v>
      </c>
      <c r="L332" s="8">
        <f>OPERATORS[[#This Row],[Withholding Tax]]+OPERATORS[[#This Row],[Gaming Tax]]</f>
        <v>15216900</v>
      </c>
    </row>
    <row r="333" spans="1:12" s="23" customFormat="1" ht="14" x14ac:dyDescent="0.3">
      <c r="A333" s="18">
        <v>273</v>
      </c>
      <c r="B333" s="19" t="s">
        <v>16</v>
      </c>
      <c r="C333" s="20" t="s">
        <v>63</v>
      </c>
      <c r="D333" s="20" t="str">
        <f t="shared" si="12"/>
        <v/>
      </c>
      <c r="E333" s="5">
        <v>45626</v>
      </c>
      <c r="F333" s="20" t="s">
        <v>14</v>
      </c>
      <c r="G333" s="7">
        <v>98360000</v>
      </c>
      <c r="H333" s="7">
        <v>93590000</v>
      </c>
      <c r="I333" s="7">
        <f>OPERATORS[[#This Row],[Total Sales]]-OPERATORS[[#This Row],[Total Payouts]]</f>
        <v>4770000</v>
      </c>
      <c r="J333" s="7">
        <v>0</v>
      </c>
      <c r="K333" s="7">
        <v>1431000</v>
      </c>
      <c r="L333" s="8">
        <f>OPERATORS[[#This Row],[Withholding Tax]]+OPERATORS[[#This Row],[Gaming Tax]]</f>
        <v>1431000</v>
      </c>
    </row>
    <row r="334" spans="1:12" s="23" customFormat="1" ht="14" x14ac:dyDescent="0.3">
      <c r="A334" s="18">
        <f>ROW(A333)</f>
        <v>333</v>
      </c>
      <c r="B334" s="3" t="s">
        <v>12</v>
      </c>
      <c r="C334" s="6" t="s">
        <v>54</v>
      </c>
      <c r="D334" s="35" t="str">
        <f t="shared" si="12"/>
        <v/>
      </c>
      <c r="E334" s="5">
        <v>45626</v>
      </c>
      <c r="F334" s="6" t="s">
        <v>14</v>
      </c>
      <c r="G334" s="7">
        <v>194794800</v>
      </c>
      <c r="H334" s="7">
        <v>122731766</v>
      </c>
      <c r="I334" s="7">
        <f>OPERATORS[[#This Row],[Total Sales]]-OPERATORS[[#This Row],[Total Payouts]]</f>
        <v>72063034</v>
      </c>
      <c r="J334" s="7">
        <v>18409765</v>
      </c>
      <c r="K334" s="7">
        <v>16946787</v>
      </c>
      <c r="L334" s="8">
        <f>OPERATORS[[#This Row],[Withholding Tax]]+OPERATORS[[#This Row],[Gaming Tax]]</f>
        <v>35356552</v>
      </c>
    </row>
    <row r="335" spans="1:12" s="23" customFormat="1" ht="14" x14ac:dyDescent="0.3">
      <c r="A335" s="18" t="e">
        <f>ROW(#REF!)</f>
        <v>#REF!</v>
      </c>
      <c r="B335" s="3" t="s">
        <v>12</v>
      </c>
      <c r="C335" s="20" t="s">
        <v>64</v>
      </c>
      <c r="D335" s="35" t="str">
        <f t="shared" si="12"/>
        <v/>
      </c>
      <c r="E335" s="5">
        <v>45626</v>
      </c>
      <c r="F335" s="6" t="s">
        <v>14</v>
      </c>
      <c r="G335" s="7">
        <v>314646660</v>
      </c>
      <c r="H335" s="7">
        <v>139577322</v>
      </c>
      <c r="I335" s="7">
        <f>OPERATORS[[#This Row],[Total Sales]]-OPERATORS[[#This Row],[Total Payouts]]</f>
        <v>175069338</v>
      </c>
      <c r="J335" s="7">
        <v>20936598</v>
      </c>
      <c r="K335" s="7">
        <v>35013868</v>
      </c>
      <c r="L335" s="8">
        <f>OPERATORS[[#This Row],[Withholding Tax]]+OPERATORS[[#This Row],[Gaming Tax]]</f>
        <v>55950466</v>
      </c>
    </row>
    <row r="336" spans="1:12" s="23" customFormat="1" ht="14" x14ac:dyDescent="0.3">
      <c r="A336" s="18">
        <f t="shared" ref="A336:A341" si="13">ROW(A335)</f>
        <v>335</v>
      </c>
      <c r="B336" s="3" t="s">
        <v>3</v>
      </c>
      <c r="C336" s="20" t="s">
        <v>64</v>
      </c>
      <c r="D336" s="35" t="str">
        <f t="shared" si="12"/>
        <v/>
      </c>
      <c r="E336" s="5">
        <v>45626</v>
      </c>
      <c r="F336" s="6" t="s">
        <v>14</v>
      </c>
      <c r="G336" s="7">
        <v>508090863</v>
      </c>
      <c r="H336" s="7">
        <v>323598684</v>
      </c>
      <c r="I336" s="7">
        <f>OPERATORS[[#This Row],[Total Sales]]-OPERATORS[[#This Row],[Total Payouts]]</f>
        <v>184492179</v>
      </c>
      <c r="J336" s="7">
        <v>0</v>
      </c>
      <c r="K336" s="7">
        <v>55347654</v>
      </c>
      <c r="L336" s="8">
        <f>OPERATORS[[#This Row],[Withholding Tax]]+OPERATORS[[#This Row],[Gaming Tax]]</f>
        <v>55347654</v>
      </c>
    </row>
    <row r="337" spans="1:13" s="23" customFormat="1" ht="14" x14ac:dyDescent="0.3">
      <c r="A337" s="18">
        <f t="shared" si="13"/>
        <v>336</v>
      </c>
      <c r="B337" s="3" t="s">
        <v>12</v>
      </c>
      <c r="C337" s="6" t="s">
        <v>58</v>
      </c>
      <c r="D337" s="35" t="str">
        <f t="shared" si="12"/>
        <v/>
      </c>
      <c r="E337" s="5">
        <v>45626</v>
      </c>
      <c r="F337" s="20" t="s">
        <v>14</v>
      </c>
      <c r="G337" s="7">
        <v>5897298798</v>
      </c>
      <c r="H337" s="7">
        <v>5590466252</v>
      </c>
      <c r="I337" s="7">
        <v>306832546</v>
      </c>
      <c r="J337" s="7">
        <v>838569938</v>
      </c>
      <c r="K337" s="7">
        <v>63986984</v>
      </c>
      <c r="L337" s="8">
        <f>OPERATORS[[#This Row],[Withholding Tax]]+OPERATORS[[#This Row],[Gaming Tax]]</f>
        <v>902556922</v>
      </c>
    </row>
    <row r="338" spans="1:13" s="23" customFormat="1" ht="14" x14ac:dyDescent="0.3">
      <c r="A338" s="18">
        <f t="shared" si="13"/>
        <v>337</v>
      </c>
      <c r="B338" s="3" t="s">
        <v>16</v>
      </c>
      <c r="C338" s="6" t="s">
        <v>58</v>
      </c>
      <c r="D338" s="35" t="str">
        <f t="shared" si="12"/>
        <v/>
      </c>
      <c r="E338" s="5">
        <v>45626</v>
      </c>
      <c r="F338" s="20" t="s">
        <v>14</v>
      </c>
      <c r="G338" s="7">
        <v>4301751440</v>
      </c>
      <c r="H338" s="7">
        <v>4111875564</v>
      </c>
      <c r="I338" s="7">
        <v>189875876</v>
      </c>
      <c r="J338" s="7"/>
      <c r="K338" s="7">
        <v>56962763</v>
      </c>
      <c r="L338" s="8">
        <f>OPERATORS[[#This Row],[Withholding Tax]]+OPERATORS[[#This Row],[Gaming Tax]]</f>
        <v>56962763</v>
      </c>
    </row>
    <row r="339" spans="1:13" s="23" customFormat="1" ht="14" x14ac:dyDescent="0.3">
      <c r="A339" s="18">
        <f t="shared" si="13"/>
        <v>338</v>
      </c>
      <c r="B339" s="3" t="s">
        <v>12</v>
      </c>
      <c r="C339" s="6" t="s">
        <v>35</v>
      </c>
      <c r="D339" s="35" t="str">
        <f t="shared" si="12"/>
        <v/>
      </c>
      <c r="E339" s="5">
        <v>45626</v>
      </c>
      <c r="F339" s="20" t="s">
        <v>14</v>
      </c>
      <c r="G339" s="7">
        <v>1785017000</v>
      </c>
      <c r="H339" s="7">
        <v>1707911000</v>
      </c>
      <c r="I339" s="7">
        <v>77106000</v>
      </c>
      <c r="J339" s="7">
        <v>256186650</v>
      </c>
      <c r="K339" s="7">
        <v>17603600</v>
      </c>
      <c r="L339" s="8">
        <f>OPERATORS[[#This Row],[Withholding Tax]]+OPERATORS[[#This Row],[Gaming Tax]]</f>
        <v>273790250</v>
      </c>
    </row>
    <row r="340" spans="1:13" s="23" customFormat="1" ht="14" x14ac:dyDescent="0.3">
      <c r="A340" s="18">
        <f t="shared" si="13"/>
        <v>339</v>
      </c>
      <c r="B340" s="3" t="s">
        <v>16</v>
      </c>
      <c r="C340" s="6" t="s">
        <v>35</v>
      </c>
      <c r="D340" s="35" t="str">
        <f t="shared" si="12"/>
        <v/>
      </c>
      <c r="E340" s="5">
        <v>45626</v>
      </c>
      <c r="F340" s="20" t="s">
        <v>14</v>
      </c>
      <c r="G340" s="7">
        <v>813744460</v>
      </c>
      <c r="H340" s="7">
        <v>769861210</v>
      </c>
      <c r="I340" s="7">
        <v>43884250</v>
      </c>
      <c r="J340" s="7"/>
      <c r="K340" s="7">
        <v>13165275</v>
      </c>
      <c r="L340" s="8">
        <f>OPERATORS[[#This Row],[Withholding Tax]]+OPERATORS[[#This Row],[Gaming Tax]]</f>
        <v>13165275</v>
      </c>
    </row>
    <row r="341" spans="1:13" s="23" customFormat="1" ht="14" x14ac:dyDescent="0.3">
      <c r="A341" s="18">
        <f t="shared" si="13"/>
        <v>340</v>
      </c>
      <c r="B341" s="19" t="s">
        <v>12</v>
      </c>
      <c r="C341" s="20" t="s">
        <v>73</v>
      </c>
      <c r="D341" s="20" t="str">
        <f t="shared" si="12"/>
        <v/>
      </c>
      <c r="E341" s="5">
        <v>45657</v>
      </c>
      <c r="F341" s="20" t="s">
        <v>14</v>
      </c>
      <c r="G341" s="7" t="s">
        <v>19</v>
      </c>
      <c r="H341" s="7" t="s">
        <v>19</v>
      </c>
      <c r="I341" s="7">
        <v>0</v>
      </c>
      <c r="J341" s="7" t="s">
        <v>19</v>
      </c>
      <c r="K341" s="7" t="s">
        <v>19</v>
      </c>
      <c r="L341" s="8" t="s">
        <v>19</v>
      </c>
    </row>
    <row r="342" spans="1:13" s="23" customFormat="1" ht="14" x14ac:dyDescent="0.3">
      <c r="A342" s="18">
        <v>136</v>
      </c>
      <c r="B342" s="19" t="s">
        <v>3</v>
      </c>
      <c r="C342" s="20" t="s">
        <v>73</v>
      </c>
      <c r="D342" s="20" t="str">
        <f t="shared" si="12"/>
        <v/>
      </c>
      <c r="E342" s="5">
        <v>45657</v>
      </c>
      <c r="F342" s="20" t="s">
        <v>14</v>
      </c>
      <c r="G342" s="7" t="s">
        <v>19</v>
      </c>
      <c r="H342" s="7" t="s">
        <v>19</v>
      </c>
      <c r="I342" s="7">
        <v>0</v>
      </c>
      <c r="J342" s="7" t="s">
        <v>19</v>
      </c>
      <c r="K342" s="7" t="s">
        <v>19</v>
      </c>
      <c r="L342" s="8" t="s">
        <v>19</v>
      </c>
    </row>
    <row r="343" spans="1:13" s="23" customFormat="1" ht="14" x14ac:dyDescent="0.3">
      <c r="A343" s="18">
        <f>ROW(A342)</f>
        <v>342</v>
      </c>
      <c r="B343" s="19" t="s">
        <v>12</v>
      </c>
      <c r="C343" s="20" t="s">
        <v>65</v>
      </c>
      <c r="D343" s="20" t="str">
        <f t="shared" si="12"/>
        <v/>
      </c>
      <c r="E343" s="5">
        <v>45657</v>
      </c>
      <c r="F343" s="20" t="s">
        <v>14</v>
      </c>
      <c r="G343" s="7" t="s">
        <v>19</v>
      </c>
      <c r="H343" s="7" t="s">
        <v>19</v>
      </c>
      <c r="I343" s="7">
        <v>0</v>
      </c>
      <c r="J343" s="7" t="s">
        <v>19</v>
      </c>
      <c r="K343" s="7" t="s">
        <v>19</v>
      </c>
      <c r="L343" s="8" t="s">
        <v>19</v>
      </c>
    </row>
    <row r="344" spans="1:13" s="23" customFormat="1" ht="14" x14ac:dyDescent="0.3">
      <c r="A344" s="18">
        <v>137</v>
      </c>
      <c r="B344" s="19" t="s">
        <v>3</v>
      </c>
      <c r="C344" s="20" t="s">
        <v>65</v>
      </c>
      <c r="D344" s="20" t="str">
        <f t="shared" si="12"/>
        <v/>
      </c>
      <c r="E344" s="5">
        <v>45657</v>
      </c>
      <c r="F344" s="20" t="s">
        <v>14</v>
      </c>
      <c r="G344" s="7" t="s">
        <v>19</v>
      </c>
      <c r="H344" s="7" t="s">
        <v>19</v>
      </c>
      <c r="I344" s="7">
        <v>0</v>
      </c>
      <c r="J344" s="7" t="s">
        <v>19</v>
      </c>
      <c r="K344" s="7" t="s">
        <v>19</v>
      </c>
      <c r="L344" s="8" t="s">
        <v>19</v>
      </c>
    </row>
    <row r="345" spans="1:13" s="23" customFormat="1" ht="14" x14ac:dyDescent="0.3">
      <c r="A345" s="18">
        <f>ROW(A344)</f>
        <v>344</v>
      </c>
      <c r="B345" s="19" t="s">
        <v>12</v>
      </c>
      <c r="C345" s="20" t="s">
        <v>37</v>
      </c>
      <c r="D345" s="20" t="str">
        <f t="shared" si="12"/>
        <v/>
      </c>
      <c r="E345" s="5">
        <v>45657</v>
      </c>
      <c r="F345" s="20" t="s">
        <v>14</v>
      </c>
      <c r="G345" s="7">
        <v>1402086553</v>
      </c>
      <c r="H345" s="7">
        <v>1275562063</v>
      </c>
      <c r="I345" s="7">
        <f>OPERATORS[[#This Row],[Total Sales]]-OPERATORS[[#This Row],[Total Payouts]]</f>
        <v>126524490</v>
      </c>
      <c r="J345" s="7">
        <v>191334309</v>
      </c>
      <c r="K345" s="7">
        <v>58852679</v>
      </c>
      <c r="L345" s="8">
        <v>250186988</v>
      </c>
    </row>
    <row r="346" spans="1:13" s="23" customFormat="1" ht="14" x14ac:dyDescent="0.3">
      <c r="A346" s="18">
        <v>138</v>
      </c>
      <c r="B346" s="19" t="s">
        <v>12</v>
      </c>
      <c r="C346" s="20" t="s">
        <v>78</v>
      </c>
      <c r="D346" s="20" t="str">
        <f t="shared" si="12"/>
        <v/>
      </c>
      <c r="E346" s="5">
        <v>45657</v>
      </c>
      <c r="F346" s="20" t="s">
        <v>14</v>
      </c>
      <c r="G346" s="7">
        <v>182247948</v>
      </c>
      <c r="H346" s="7">
        <v>153570020</v>
      </c>
      <c r="I346" s="7">
        <f>OPERATORS[[#This Row],[Total Sales]]-OPERATORS[[#This Row],[Total Payouts]]</f>
        <v>28677928</v>
      </c>
      <c r="J346" s="7">
        <v>23035503</v>
      </c>
      <c r="K346" s="7">
        <v>7876620</v>
      </c>
      <c r="L346" s="8">
        <v>30912123</v>
      </c>
    </row>
    <row r="347" spans="1:13" s="23" customFormat="1" ht="14" x14ac:dyDescent="0.3">
      <c r="A347" s="18">
        <f>ROW(A346)</f>
        <v>346</v>
      </c>
      <c r="B347" s="19" t="s">
        <v>12</v>
      </c>
      <c r="C347" s="20" t="s">
        <v>70</v>
      </c>
      <c r="D347" s="20" t="str">
        <f t="shared" si="12"/>
        <v/>
      </c>
      <c r="E347" s="5">
        <v>45657</v>
      </c>
      <c r="F347" s="20" t="s">
        <v>14</v>
      </c>
      <c r="G347" s="7">
        <v>5056669456</v>
      </c>
      <c r="H347" s="7">
        <v>4435082451</v>
      </c>
      <c r="I347" s="7">
        <f>OPERATORS[[#This Row],[Total Sales]]-OPERATORS[[#This Row],[Total Payouts]]</f>
        <v>621587005</v>
      </c>
      <c r="J347" s="7">
        <v>665262368</v>
      </c>
      <c r="K347" s="7">
        <v>163784649</v>
      </c>
      <c r="L347" s="8">
        <v>829047017</v>
      </c>
    </row>
    <row r="348" spans="1:13" s="23" customFormat="1" ht="14" x14ac:dyDescent="0.3">
      <c r="A348" s="18">
        <v>139</v>
      </c>
      <c r="B348" s="19" t="s">
        <v>3</v>
      </c>
      <c r="C348" s="20" t="s">
        <v>70</v>
      </c>
      <c r="D348" s="20" t="str">
        <f t="shared" si="12"/>
        <v/>
      </c>
      <c r="E348" s="5">
        <v>45657</v>
      </c>
      <c r="F348" s="20" t="s">
        <v>14</v>
      </c>
      <c r="G348" s="7">
        <v>3637082817</v>
      </c>
      <c r="H348" s="7">
        <v>3476570892</v>
      </c>
      <c r="I348" s="7">
        <f>OPERATORS[[#This Row],[Total Sales]]-OPERATORS[[#This Row],[Total Payouts]]</f>
        <v>160511925</v>
      </c>
      <c r="J348" s="7"/>
      <c r="K348" s="7">
        <v>51936594</v>
      </c>
      <c r="L348" s="8">
        <v>51936594</v>
      </c>
    </row>
    <row r="349" spans="1:13" s="23" customFormat="1" ht="14" x14ac:dyDescent="0.3">
      <c r="A349" s="18">
        <f>ROW(A348)</f>
        <v>348</v>
      </c>
      <c r="B349" s="19" t="s">
        <v>12</v>
      </c>
      <c r="C349" s="20" t="s">
        <v>28</v>
      </c>
      <c r="D349" s="20" t="str">
        <f t="shared" si="12"/>
        <v/>
      </c>
      <c r="E349" s="5">
        <v>45657</v>
      </c>
      <c r="F349" s="20" t="s">
        <v>14</v>
      </c>
      <c r="G349" s="7">
        <v>1248525918</v>
      </c>
      <c r="H349" s="7">
        <v>963125753</v>
      </c>
      <c r="I349" s="7">
        <f>OPERATORS[[#This Row],[Total Sales]]-OPERATORS[[#This Row],[Total Payouts]]</f>
        <v>285400165</v>
      </c>
      <c r="J349" s="7">
        <v>144468863</v>
      </c>
      <c r="K349" s="7">
        <v>57080033</v>
      </c>
      <c r="L349" s="8">
        <v>201548896</v>
      </c>
    </row>
    <row r="350" spans="1:13" s="23" customFormat="1" ht="14" x14ac:dyDescent="0.3">
      <c r="A350" s="18">
        <v>140</v>
      </c>
      <c r="B350" s="19" t="s">
        <v>3</v>
      </c>
      <c r="C350" s="20" t="s">
        <v>28</v>
      </c>
      <c r="D350" s="20" t="str">
        <f t="shared" si="12"/>
        <v/>
      </c>
      <c r="E350" s="5">
        <v>45657</v>
      </c>
      <c r="F350" s="20" t="s">
        <v>14</v>
      </c>
      <c r="G350" s="7">
        <v>3779115167</v>
      </c>
      <c r="H350" s="7">
        <v>3540765902</v>
      </c>
      <c r="I350" s="7">
        <f>OPERATORS[[#This Row],[Total Sales]]-OPERATORS[[#This Row],[Total Payouts]]</f>
        <v>238349265</v>
      </c>
      <c r="J350" s="7">
        <v>0</v>
      </c>
      <c r="K350" s="7">
        <v>84246754</v>
      </c>
      <c r="L350" s="8">
        <v>84246754</v>
      </c>
    </row>
    <row r="351" spans="1:13" s="23" customFormat="1" ht="14" x14ac:dyDescent="0.3">
      <c r="A351" s="18">
        <f>ROW(A350)</f>
        <v>350</v>
      </c>
      <c r="B351" s="19" t="s">
        <v>16</v>
      </c>
      <c r="C351" s="20" t="s">
        <v>39</v>
      </c>
      <c r="D351" s="20" t="str">
        <f t="shared" si="12"/>
        <v/>
      </c>
      <c r="E351" s="5">
        <v>45657</v>
      </c>
      <c r="F351" s="20" t="s">
        <v>14</v>
      </c>
      <c r="G351" s="7">
        <v>102709982</v>
      </c>
      <c r="H351" s="7">
        <v>102667283</v>
      </c>
      <c r="I351" s="7">
        <f>OPERATORS[[#This Row],[Total Sales]]-OPERATORS[[#This Row],[Total Payouts]]</f>
        <v>42699</v>
      </c>
      <c r="J351" s="7">
        <v>0</v>
      </c>
      <c r="K351" s="7">
        <v>4779395</v>
      </c>
      <c r="L351" s="8">
        <v>4779395</v>
      </c>
      <c r="M351" s="26"/>
    </row>
    <row r="352" spans="1:13" s="23" customFormat="1" ht="14" x14ac:dyDescent="0.3">
      <c r="A352" s="18">
        <v>141</v>
      </c>
      <c r="B352" s="19" t="s">
        <v>3</v>
      </c>
      <c r="C352" s="20" t="s">
        <v>56</v>
      </c>
      <c r="D352" s="20">
        <v>1000035508</v>
      </c>
      <c r="E352" s="5">
        <v>45657</v>
      </c>
      <c r="F352" s="20" t="s">
        <v>14</v>
      </c>
      <c r="G352" s="7">
        <v>469001906</v>
      </c>
      <c r="H352" s="7">
        <v>103469830</v>
      </c>
      <c r="I352" s="7">
        <f>OPERATORS[[#This Row],[Total Sales]]-OPERATORS[[#This Row],[Total Payouts]]</f>
        <v>365532076</v>
      </c>
      <c r="J352" s="7">
        <v>0</v>
      </c>
      <c r="K352" s="7">
        <v>140700572</v>
      </c>
      <c r="L352" s="8">
        <v>140700572</v>
      </c>
      <c r="M352" s="26"/>
    </row>
    <row r="353" spans="1:12" s="23" customFormat="1" ht="14" x14ac:dyDescent="0.3">
      <c r="A353" s="18">
        <f>ROW(A352)</f>
        <v>352</v>
      </c>
      <c r="B353" s="19" t="s">
        <v>16</v>
      </c>
      <c r="C353" s="20" t="s">
        <v>69</v>
      </c>
      <c r="D353" s="20" t="str">
        <f t="shared" ref="D353:D390" si="14">IFERROR(VLOOKUP(C353,OPerators_Range,2,FALSE),"")</f>
        <v/>
      </c>
      <c r="E353" s="5">
        <v>45657</v>
      </c>
      <c r="F353" s="20" t="s">
        <v>14</v>
      </c>
      <c r="G353" s="7">
        <v>639154500</v>
      </c>
      <c r="H353" s="7">
        <v>526153762</v>
      </c>
      <c r="I353" s="7">
        <f>OPERATORS[[#This Row],[Total Sales]]-OPERATORS[[#This Row],[Total Payouts]]</f>
        <v>113000738</v>
      </c>
      <c r="J353" s="7"/>
      <c r="K353" s="7">
        <v>33900221</v>
      </c>
      <c r="L353" s="8">
        <v>33900221</v>
      </c>
    </row>
    <row r="354" spans="1:12" s="23" customFormat="1" ht="14" x14ac:dyDescent="0.3">
      <c r="A354" s="18">
        <v>142</v>
      </c>
      <c r="B354" s="19" t="s">
        <v>16</v>
      </c>
      <c r="C354" s="20" t="s">
        <v>38</v>
      </c>
      <c r="D354" s="20" t="str">
        <f t="shared" si="14"/>
        <v/>
      </c>
      <c r="E354" s="5">
        <v>45657</v>
      </c>
      <c r="F354" s="20" t="s">
        <v>14</v>
      </c>
      <c r="G354" s="7">
        <v>154555000</v>
      </c>
      <c r="H354" s="7">
        <v>122015220</v>
      </c>
      <c r="I354" s="7">
        <f>OPERATORS[[#This Row],[Total Sales]]-OPERATORS[[#This Row],[Total Payouts]]</f>
        <v>32539780</v>
      </c>
      <c r="J354" s="7">
        <v>0</v>
      </c>
      <c r="K354" s="7">
        <v>10239246</v>
      </c>
      <c r="L354" s="8">
        <v>10239246</v>
      </c>
    </row>
    <row r="355" spans="1:12" s="23" customFormat="1" ht="14" x14ac:dyDescent="0.3">
      <c r="A355" s="18">
        <f>ROW(A354)</f>
        <v>354</v>
      </c>
      <c r="B355" s="19" t="s">
        <v>3</v>
      </c>
      <c r="C355" s="20" t="s">
        <v>44</v>
      </c>
      <c r="D355" s="20" t="str">
        <f t="shared" si="14"/>
        <v/>
      </c>
      <c r="E355" s="5">
        <v>45657</v>
      </c>
      <c r="F355" s="20" t="s">
        <v>14</v>
      </c>
      <c r="G355" s="7">
        <v>22976203</v>
      </c>
      <c r="H355" s="7">
        <v>19612745</v>
      </c>
      <c r="I355" s="7">
        <f>OPERATORS[[#This Row],[Total Sales]]-OPERATORS[[#This Row],[Total Payouts]]</f>
        <v>3363458</v>
      </c>
      <c r="J355" s="7">
        <v>0</v>
      </c>
      <c r="K355" s="7">
        <v>1089952</v>
      </c>
      <c r="L355" s="8">
        <v>1089952</v>
      </c>
    </row>
    <row r="356" spans="1:12" s="23" customFormat="1" ht="14" x14ac:dyDescent="0.3">
      <c r="A356" s="18">
        <v>143</v>
      </c>
      <c r="B356" s="19" t="s">
        <v>12</v>
      </c>
      <c r="C356" s="20" t="s">
        <v>44</v>
      </c>
      <c r="D356" s="20" t="str">
        <f t="shared" si="14"/>
        <v/>
      </c>
      <c r="E356" s="5">
        <v>45657</v>
      </c>
      <c r="F356" s="20" t="s">
        <v>14</v>
      </c>
      <c r="G356" s="7" t="s">
        <v>19</v>
      </c>
      <c r="H356" s="7" t="s">
        <v>19</v>
      </c>
      <c r="I356" s="7">
        <v>0</v>
      </c>
      <c r="J356" s="7" t="s">
        <v>19</v>
      </c>
      <c r="K356" s="7" t="s">
        <v>19</v>
      </c>
      <c r="L356" s="8" t="s">
        <v>19</v>
      </c>
    </row>
    <row r="357" spans="1:12" s="23" customFormat="1" ht="14" x14ac:dyDescent="0.3">
      <c r="A357" s="18">
        <f>ROW(A356)</f>
        <v>356</v>
      </c>
      <c r="B357" s="19" t="s">
        <v>16</v>
      </c>
      <c r="C357" s="20" t="s">
        <v>61</v>
      </c>
      <c r="D357" s="20" t="str">
        <f t="shared" si="14"/>
        <v/>
      </c>
      <c r="E357" s="5">
        <v>45657</v>
      </c>
      <c r="F357" s="20" t="s">
        <v>14</v>
      </c>
      <c r="G357" s="7">
        <v>566135000</v>
      </c>
      <c r="H357" s="7">
        <v>482186000</v>
      </c>
      <c r="I357" s="7">
        <f>OPERATORS[[#This Row],[Total Sales]]-OPERATORS[[#This Row],[Total Payouts]]</f>
        <v>83949000</v>
      </c>
      <c r="J357" s="7">
        <v>0</v>
      </c>
      <c r="K357" s="7">
        <v>25184700</v>
      </c>
      <c r="L357" s="8">
        <v>25184700</v>
      </c>
    </row>
    <row r="358" spans="1:12" s="23" customFormat="1" ht="14" x14ac:dyDescent="0.3">
      <c r="A358" s="18">
        <v>144</v>
      </c>
      <c r="B358" s="19" t="s">
        <v>12</v>
      </c>
      <c r="C358" s="20" t="s">
        <v>61</v>
      </c>
      <c r="D358" s="20" t="str">
        <f t="shared" si="14"/>
        <v/>
      </c>
      <c r="E358" s="5">
        <v>45657</v>
      </c>
      <c r="F358" s="20" t="s">
        <v>14</v>
      </c>
      <c r="G358" s="7">
        <v>913147100</v>
      </c>
      <c r="H358" s="7">
        <v>482131900</v>
      </c>
      <c r="I358" s="7">
        <f>OPERATORS[[#This Row],[Total Sales]]-OPERATORS[[#This Row],[Total Payouts]]</f>
        <v>431015200</v>
      </c>
      <c r="J358" s="7">
        <v>72319785</v>
      </c>
      <c r="K358" s="7">
        <v>86203040</v>
      </c>
      <c r="L358" s="8">
        <v>158522825</v>
      </c>
    </row>
    <row r="359" spans="1:12" s="23" customFormat="1" ht="14" x14ac:dyDescent="0.3">
      <c r="A359" s="18">
        <f>ROW(A358)</f>
        <v>358</v>
      </c>
      <c r="B359" s="19" t="s">
        <v>12</v>
      </c>
      <c r="C359" s="20" t="s">
        <v>74</v>
      </c>
      <c r="D359" s="20" t="str">
        <f t="shared" si="14"/>
        <v/>
      </c>
      <c r="E359" s="5">
        <v>45657</v>
      </c>
      <c r="F359" s="20" t="s">
        <v>14</v>
      </c>
      <c r="G359" s="7">
        <v>109666425</v>
      </c>
      <c r="H359" s="7">
        <v>69740569</v>
      </c>
      <c r="I359" s="7">
        <f>OPERATORS[[#This Row],[Total Sales]]-OPERATORS[[#This Row],[Total Payouts]]</f>
        <v>39925856</v>
      </c>
      <c r="J359" s="7">
        <v>10461085</v>
      </c>
      <c r="K359" s="7">
        <v>9860354</v>
      </c>
      <c r="L359" s="8">
        <v>20321440</v>
      </c>
    </row>
    <row r="360" spans="1:12" s="23" customFormat="1" ht="14" x14ac:dyDescent="0.3">
      <c r="A360" s="18">
        <v>146</v>
      </c>
      <c r="B360" s="19" t="s">
        <v>12</v>
      </c>
      <c r="C360" s="20" t="s">
        <v>46</v>
      </c>
      <c r="D360" s="20" t="str">
        <f t="shared" si="14"/>
        <v/>
      </c>
      <c r="E360" s="5">
        <v>45657</v>
      </c>
      <c r="F360" s="20" t="s">
        <v>14</v>
      </c>
      <c r="G360" s="36">
        <v>300864973</v>
      </c>
      <c r="H360" s="36">
        <v>182309280</v>
      </c>
      <c r="I360" s="7">
        <f>OPERATORS[[#This Row],[Total Sales]]-OPERATORS[[#This Row],[Total Payouts]]</f>
        <v>118555693</v>
      </c>
      <c r="J360" s="36">
        <v>54157880</v>
      </c>
      <c r="K360" s="36">
        <v>48353284</v>
      </c>
      <c r="L360" s="37">
        <v>102511164</v>
      </c>
    </row>
    <row r="361" spans="1:12" s="23" customFormat="1" ht="14" x14ac:dyDescent="0.3">
      <c r="A361" s="18">
        <f>ROW(A360)</f>
        <v>360</v>
      </c>
      <c r="B361" s="19" t="s">
        <v>16</v>
      </c>
      <c r="C361" s="20" t="s">
        <v>46</v>
      </c>
      <c r="D361" s="20" t="str">
        <f t="shared" si="14"/>
        <v/>
      </c>
      <c r="E361" s="5">
        <v>45657</v>
      </c>
      <c r="F361" s="20" t="s">
        <v>14</v>
      </c>
      <c r="G361" s="7">
        <v>2195637968</v>
      </c>
      <c r="H361" s="7">
        <v>1996263936</v>
      </c>
      <c r="I361" s="7">
        <f>OPERATORS[[#This Row],[Total Sales]]-OPERATORS[[#This Row],[Total Payouts]]</f>
        <v>199374032</v>
      </c>
      <c r="J361" s="7">
        <v>0</v>
      </c>
      <c r="K361" s="7">
        <v>59812210</v>
      </c>
      <c r="L361" s="8">
        <v>59812210</v>
      </c>
    </row>
    <row r="362" spans="1:12" s="23" customFormat="1" ht="14" x14ac:dyDescent="0.3">
      <c r="A362" s="18">
        <v>147</v>
      </c>
      <c r="B362" s="19" t="s">
        <v>3</v>
      </c>
      <c r="C362" s="20" t="s">
        <v>61</v>
      </c>
      <c r="D362" s="20" t="str">
        <f t="shared" si="14"/>
        <v/>
      </c>
      <c r="E362" s="5">
        <v>45657</v>
      </c>
      <c r="F362" s="20" t="s">
        <v>14</v>
      </c>
      <c r="G362" s="7">
        <v>2706443060</v>
      </c>
      <c r="H362" s="7">
        <v>2498814810</v>
      </c>
      <c r="I362" s="7">
        <f>OPERATORS[[#This Row],[Total Sales]]-OPERATORS[[#This Row],[Total Payouts]]</f>
        <v>207628250</v>
      </c>
      <c r="J362" s="7">
        <v>0</v>
      </c>
      <c r="K362" s="7">
        <v>71883795</v>
      </c>
      <c r="L362" s="8">
        <v>71883795</v>
      </c>
    </row>
    <row r="363" spans="1:12" s="23" customFormat="1" ht="14" x14ac:dyDescent="0.3">
      <c r="A363" s="18">
        <f>ROW(A362)</f>
        <v>362</v>
      </c>
      <c r="B363" s="19" t="s">
        <v>17</v>
      </c>
      <c r="C363" s="20" t="s">
        <v>34</v>
      </c>
      <c r="D363" s="20" t="str">
        <f t="shared" si="14"/>
        <v/>
      </c>
      <c r="E363" s="5">
        <v>45657</v>
      </c>
      <c r="F363" s="20" t="s">
        <v>14</v>
      </c>
      <c r="G363" s="7">
        <v>387822999</v>
      </c>
      <c r="H363" s="7">
        <v>354150000</v>
      </c>
      <c r="I363" s="7">
        <f>OPERATORS[[#This Row],[Total Sales]]-OPERATORS[[#This Row],[Total Payouts]]</f>
        <v>33672999</v>
      </c>
      <c r="J363" s="7">
        <v>0</v>
      </c>
      <c r="K363" s="7">
        <v>10476900</v>
      </c>
      <c r="L363" s="8">
        <v>10476900</v>
      </c>
    </row>
    <row r="364" spans="1:12" s="23" customFormat="1" ht="14" x14ac:dyDescent="0.3">
      <c r="A364" s="18">
        <v>148</v>
      </c>
      <c r="B364" s="19" t="s">
        <v>3</v>
      </c>
      <c r="C364" s="20" t="s">
        <v>51</v>
      </c>
      <c r="D364" s="20" t="str">
        <f t="shared" si="14"/>
        <v/>
      </c>
      <c r="E364" s="5">
        <v>45657</v>
      </c>
      <c r="F364" s="20" t="s">
        <v>14</v>
      </c>
      <c r="G364" s="7">
        <v>1067083700</v>
      </c>
      <c r="H364" s="7">
        <v>13008978</v>
      </c>
      <c r="I364" s="7">
        <f>OPERATORS[[#This Row],[Total Sales]]-OPERATORS[[#This Row],[Total Payouts]]</f>
        <v>1054074722</v>
      </c>
      <c r="J364" s="7"/>
      <c r="K364" s="7">
        <v>320125110</v>
      </c>
      <c r="L364" s="8">
        <v>320125110</v>
      </c>
    </row>
    <row r="365" spans="1:12" s="23" customFormat="1" ht="14" x14ac:dyDescent="0.3">
      <c r="A365" s="18">
        <v>149</v>
      </c>
      <c r="B365" s="19" t="s">
        <v>12</v>
      </c>
      <c r="C365" s="20" t="s">
        <v>31</v>
      </c>
      <c r="D365" s="20" t="str">
        <f t="shared" si="14"/>
        <v/>
      </c>
      <c r="E365" s="5">
        <v>45657</v>
      </c>
      <c r="F365" s="20" t="s">
        <v>14</v>
      </c>
      <c r="G365" s="7">
        <v>30357505</v>
      </c>
      <c r="H365" s="7">
        <v>22015527</v>
      </c>
      <c r="I365" s="7">
        <f>OPERATORS[[#This Row],[Total Sales]]-OPERATORS[[#This Row],[Total Payouts]]</f>
        <v>8341978</v>
      </c>
      <c r="J365" s="7">
        <v>3302329</v>
      </c>
      <c r="K365" s="7">
        <v>2377771</v>
      </c>
      <c r="L365" s="8">
        <v>5680100</v>
      </c>
    </row>
    <row r="366" spans="1:12" s="23" customFormat="1" ht="14" x14ac:dyDescent="0.3">
      <c r="A366" s="18">
        <f>ROW(A365)</f>
        <v>365</v>
      </c>
      <c r="B366" s="19" t="s">
        <v>3</v>
      </c>
      <c r="C366" s="20" t="s">
        <v>33</v>
      </c>
      <c r="D366" s="20" t="str">
        <f t="shared" si="14"/>
        <v/>
      </c>
      <c r="E366" s="5">
        <v>45657</v>
      </c>
      <c r="F366" s="20" t="s">
        <v>14</v>
      </c>
      <c r="G366" s="7">
        <v>434929000</v>
      </c>
      <c r="H366" s="7">
        <v>414010000</v>
      </c>
      <c r="I366" s="7">
        <f>OPERATORS[[#This Row],[Total Sales]]-OPERATORS[[#This Row],[Total Payouts]]</f>
        <v>20919000</v>
      </c>
      <c r="J366" s="7">
        <v>0</v>
      </c>
      <c r="K366" s="39">
        <v>11677500</v>
      </c>
      <c r="L366" s="40">
        <v>11677500</v>
      </c>
    </row>
    <row r="367" spans="1:12" s="23" customFormat="1" ht="14" x14ac:dyDescent="0.3">
      <c r="A367" s="18">
        <f>ROW(A366)</f>
        <v>366</v>
      </c>
      <c r="B367" s="19" t="s">
        <v>3</v>
      </c>
      <c r="C367" s="20" t="s">
        <v>52</v>
      </c>
      <c r="D367" s="20" t="str">
        <f t="shared" si="14"/>
        <v/>
      </c>
      <c r="E367" s="5">
        <v>45657</v>
      </c>
      <c r="F367" s="20" t="s">
        <v>14</v>
      </c>
      <c r="G367" s="7">
        <v>82268400</v>
      </c>
      <c r="H367" s="7">
        <v>18701000</v>
      </c>
      <c r="I367" s="7">
        <f>OPERATORS[[#This Row],[Total Sales]]-OPERATORS[[#This Row],[Total Payouts]]</f>
        <v>63567400</v>
      </c>
      <c r="J367" s="7">
        <v>0</v>
      </c>
      <c r="K367" s="7">
        <v>19070220</v>
      </c>
      <c r="L367" s="8">
        <v>19070220</v>
      </c>
    </row>
    <row r="368" spans="1:12" s="23" customFormat="1" ht="14" x14ac:dyDescent="0.3">
      <c r="A368" s="18">
        <v>152</v>
      </c>
      <c r="B368" s="19" t="s">
        <v>12</v>
      </c>
      <c r="C368" s="20" t="s">
        <v>36</v>
      </c>
      <c r="D368" s="20" t="str">
        <f t="shared" si="14"/>
        <v/>
      </c>
      <c r="E368" s="5">
        <v>45657</v>
      </c>
      <c r="F368" s="20" t="s">
        <v>14</v>
      </c>
      <c r="G368" s="7">
        <v>16874666</v>
      </c>
      <c r="H368" s="7">
        <v>13096770</v>
      </c>
      <c r="I368" s="7">
        <f>OPERATORS[[#This Row],[Total Sales]]-OPERATORS[[#This Row],[Total Payouts]]</f>
        <v>3777896</v>
      </c>
      <c r="J368" s="7">
        <v>1964516</v>
      </c>
      <c r="K368" s="7">
        <v>1017890</v>
      </c>
      <c r="L368" s="8">
        <v>2982406</v>
      </c>
    </row>
    <row r="369" spans="1:14" ht="14" x14ac:dyDescent="0.3">
      <c r="A369" s="18">
        <f>ROW(A368)</f>
        <v>368</v>
      </c>
      <c r="B369" s="19" t="s">
        <v>16</v>
      </c>
      <c r="C369" s="20" t="s">
        <v>36</v>
      </c>
      <c r="D369" s="20" t="str">
        <f t="shared" si="14"/>
        <v/>
      </c>
      <c r="E369" s="5">
        <v>45657</v>
      </c>
      <c r="F369" s="20" t="s">
        <v>14</v>
      </c>
      <c r="G369" s="7">
        <v>267025080</v>
      </c>
      <c r="H369" s="7">
        <v>221272117</v>
      </c>
      <c r="I369" s="7">
        <f>OPERATORS[[#This Row],[Total Sales]]-OPERATORS[[#This Row],[Total Payouts]]</f>
        <v>45752963</v>
      </c>
      <c r="J369" s="7">
        <v>0</v>
      </c>
      <c r="K369" s="7">
        <v>13725889</v>
      </c>
      <c r="L369" s="8">
        <v>13725889</v>
      </c>
      <c r="M369" s="41"/>
    </row>
    <row r="370" spans="1:14" ht="14" x14ac:dyDescent="0.3">
      <c r="A370" s="18">
        <f>ROW(A369)</f>
        <v>369</v>
      </c>
      <c r="B370" s="19" t="s">
        <v>12</v>
      </c>
      <c r="C370" s="20" t="s">
        <v>41</v>
      </c>
      <c r="D370" s="20" t="str">
        <f t="shared" si="14"/>
        <v/>
      </c>
      <c r="E370" s="5">
        <v>45657</v>
      </c>
      <c r="F370" s="20" t="s">
        <v>14</v>
      </c>
      <c r="G370" s="7">
        <v>296591705856</v>
      </c>
      <c r="H370" s="7">
        <v>266554895519</v>
      </c>
      <c r="I370" s="7">
        <f>OPERATORS[[#This Row],[Total Sales]]-OPERATORS[[#This Row],[Total Payouts]]</f>
        <v>30036810337</v>
      </c>
      <c r="J370" s="7">
        <v>39983234328</v>
      </c>
      <c r="K370" s="7">
        <v>7132019983</v>
      </c>
      <c r="L370" s="8">
        <v>47115254311</v>
      </c>
      <c r="M370" s="41"/>
    </row>
    <row r="371" spans="1:14" ht="14" x14ac:dyDescent="0.3">
      <c r="A371" s="18">
        <v>154</v>
      </c>
      <c r="B371" s="19" t="s">
        <v>3</v>
      </c>
      <c r="C371" s="20" t="s">
        <v>41</v>
      </c>
      <c r="D371" s="20" t="str">
        <f t="shared" si="14"/>
        <v/>
      </c>
      <c r="E371" s="5">
        <v>45657</v>
      </c>
      <c r="F371" s="20" t="s">
        <v>14</v>
      </c>
      <c r="G371" s="7">
        <v>316688008934</v>
      </c>
      <c r="H371" s="7">
        <v>311442274077</v>
      </c>
      <c r="I371" s="7">
        <f>OPERATORS[[#This Row],[Total Sales]]-OPERATORS[[#This Row],[Total Payouts]]</f>
        <v>5245734857</v>
      </c>
      <c r="J371" s="7"/>
      <c r="K371" s="43">
        <v>1573720457</v>
      </c>
      <c r="L371" s="44">
        <v>1573720457</v>
      </c>
      <c r="M371" s="41"/>
    </row>
    <row r="372" spans="1:14" ht="14" x14ac:dyDescent="0.3">
      <c r="A372" s="18">
        <f>ROW(A371)</f>
        <v>371</v>
      </c>
      <c r="B372" s="19" t="s">
        <v>17</v>
      </c>
      <c r="C372" s="20" t="s">
        <v>62</v>
      </c>
      <c r="D372" s="20" t="str">
        <f t="shared" si="14"/>
        <v/>
      </c>
      <c r="E372" s="5">
        <v>45657</v>
      </c>
      <c r="F372" s="20" t="s">
        <v>14</v>
      </c>
      <c r="G372" s="7">
        <v>673890000</v>
      </c>
      <c r="H372" s="7">
        <v>360594353</v>
      </c>
      <c r="I372" s="7">
        <f>OPERATORS[[#This Row],[Total Sales]]-OPERATORS[[#This Row],[Total Payouts]]</f>
        <v>313295647</v>
      </c>
      <c r="J372" s="7"/>
      <c r="K372" s="7">
        <v>93988694</v>
      </c>
      <c r="L372" s="8">
        <v>93988694</v>
      </c>
      <c r="M372" s="41"/>
    </row>
    <row r="373" spans="1:14" ht="14" x14ac:dyDescent="0.3">
      <c r="A373" s="18">
        <f>ROW(A372)</f>
        <v>372</v>
      </c>
      <c r="B373" s="19" t="s">
        <v>3</v>
      </c>
      <c r="C373" s="20" t="s">
        <v>66</v>
      </c>
      <c r="D373" s="20" t="str">
        <f t="shared" si="14"/>
        <v/>
      </c>
      <c r="E373" s="5">
        <v>45657</v>
      </c>
      <c r="F373" s="20" t="s">
        <v>14</v>
      </c>
      <c r="G373" s="7">
        <v>28066656</v>
      </c>
      <c r="H373" s="7">
        <v>23240739</v>
      </c>
      <c r="I373" s="7">
        <f>OPERATORS[[#This Row],[Total Sales]]-OPERATORS[[#This Row],[Total Payouts]]</f>
        <v>4825917</v>
      </c>
      <c r="J373" s="7"/>
      <c r="K373" s="7">
        <v>1447775</v>
      </c>
      <c r="L373" s="8">
        <v>1447775</v>
      </c>
      <c r="M373" s="41"/>
    </row>
    <row r="374" spans="1:14" ht="14" x14ac:dyDescent="0.3">
      <c r="A374" s="18">
        <v>156</v>
      </c>
      <c r="B374" s="19" t="s">
        <v>12</v>
      </c>
      <c r="C374" s="20" t="s">
        <v>30</v>
      </c>
      <c r="D374" s="20" t="str">
        <f t="shared" si="14"/>
        <v/>
      </c>
      <c r="E374" s="5">
        <v>45657</v>
      </c>
      <c r="F374" s="20" t="s">
        <v>14</v>
      </c>
      <c r="G374" s="7">
        <v>265315973</v>
      </c>
      <c r="H374" s="7">
        <v>209460384</v>
      </c>
      <c r="I374" s="7">
        <f>OPERATORS[[#This Row],[Total Sales]]-OPERATORS[[#This Row],[Total Payouts]]</f>
        <v>55855589</v>
      </c>
      <c r="J374" s="7">
        <v>31419058</v>
      </c>
      <c r="K374" s="7">
        <v>13464575</v>
      </c>
      <c r="L374" s="8">
        <v>44883633</v>
      </c>
      <c r="M374" s="41"/>
    </row>
    <row r="375" spans="1:14" ht="14" x14ac:dyDescent="0.3">
      <c r="A375" s="18">
        <f>ROW(A374)</f>
        <v>374</v>
      </c>
      <c r="B375" s="19" t="s">
        <v>12</v>
      </c>
      <c r="C375" s="20" t="s">
        <v>32</v>
      </c>
      <c r="D375" s="20" t="str">
        <f t="shared" si="14"/>
        <v/>
      </c>
      <c r="E375" s="5">
        <v>45657</v>
      </c>
      <c r="F375" s="20" t="s">
        <v>14</v>
      </c>
      <c r="G375" s="7">
        <v>467530855</v>
      </c>
      <c r="H375" s="7">
        <v>329842921</v>
      </c>
      <c r="I375" s="7">
        <f>OPERATORS[[#This Row],[Total Sales]]-OPERATORS[[#This Row],[Total Payouts]]</f>
        <v>137687934</v>
      </c>
      <c r="J375" s="7">
        <v>49476438</v>
      </c>
      <c r="K375" s="7">
        <v>27540064</v>
      </c>
      <c r="L375" s="8">
        <v>77016502</v>
      </c>
      <c r="M375" s="41"/>
    </row>
    <row r="376" spans="1:14" ht="14" x14ac:dyDescent="0.3">
      <c r="A376" s="18">
        <v>160</v>
      </c>
      <c r="B376" s="19" t="s">
        <v>3</v>
      </c>
      <c r="C376" s="20" t="s">
        <v>32</v>
      </c>
      <c r="D376" s="20" t="str">
        <f t="shared" si="14"/>
        <v/>
      </c>
      <c r="E376" s="5">
        <v>45657</v>
      </c>
      <c r="F376" s="20" t="s">
        <v>14</v>
      </c>
      <c r="G376" s="7">
        <v>100725261</v>
      </c>
      <c r="H376" s="7">
        <v>63293934</v>
      </c>
      <c r="I376" s="7">
        <f>OPERATORS[[#This Row],[Total Sales]]-OPERATORS[[#This Row],[Total Payouts]]</f>
        <v>37431327</v>
      </c>
      <c r="J376" s="7"/>
      <c r="K376" s="7">
        <v>14715661</v>
      </c>
      <c r="L376" s="8">
        <v>14715661</v>
      </c>
      <c r="M376" s="41"/>
    </row>
    <row r="377" spans="1:14" ht="14" x14ac:dyDescent="0.3">
      <c r="A377" s="18">
        <f>ROW(A376)</f>
        <v>376</v>
      </c>
      <c r="B377" s="19" t="s">
        <v>3</v>
      </c>
      <c r="C377" s="20" t="s">
        <v>76</v>
      </c>
      <c r="D377" s="20" t="str">
        <f t="shared" si="14"/>
        <v/>
      </c>
      <c r="E377" s="5">
        <v>45657</v>
      </c>
      <c r="F377" s="20" t="s">
        <v>14</v>
      </c>
      <c r="G377" s="7">
        <v>6945000</v>
      </c>
      <c r="H377" s="7">
        <v>0</v>
      </c>
      <c r="I377" s="7">
        <f>OPERATORS[[#This Row],[Total Sales]]-OPERATORS[[#This Row],[Total Payouts]]</f>
        <v>6945000</v>
      </c>
      <c r="J377" s="7"/>
      <c r="K377" s="7">
        <v>2083500</v>
      </c>
      <c r="L377" s="8">
        <v>2083500</v>
      </c>
      <c r="M377" s="41"/>
    </row>
    <row r="378" spans="1:14" ht="14" x14ac:dyDescent="0.3">
      <c r="A378" s="18">
        <v>162</v>
      </c>
      <c r="B378" s="19" t="s">
        <v>12</v>
      </c>
      <c r="C378" s="20" t="s">
        <v>75</v>
      </c>
      <c r="D378" s="20" t="str">
        <f t="shared" si="14"/>
        <v/>
      </c>
      <c r="E378" s="5">
        <v>45657</v>
      </c>
      <c r="F378" s="20" t="s">
        <v>14</v>
      </c>
      <c r="G378" s="7" t="s">
        <v>19</v>
      </c>
      <c r="H378" s="7" t="s">
        <v>19</v>
      </c>
      <c r="I378" s="7">
        <v>0</v>
      </c>
      <c r="J378" s="7" t="s">
        <v>19</v>
      </c>
      <c r="K378" s="7" t="s">
        <v>19</v>
      </c>
      <c r="L378" s="8" t="s">
        <v>19</v>
      </c>
      <c r="M378" s="41"/>
    </row>
    <row r="379" spans="1:14" ht="14" x14ac:dyDescent="0.3">
      <c r="A379" s="18">
        <f>ROW(A378)</f>
        <v>378</v>
      </c>
      <c r="B379" s="19" t="s">
        <v>12</v>
      </c>
      <c r="C379" s="20" t="s">
        <v>55</v>
      </c>
      <c r="D379" s="20" t="str">
        <f t="shared" si="14"/>
        <v/>
      </c>
      <c r="E379" s="5">
        <v>45657</v>
      </c>
      <c r="F379" s="20" t="s">
        <v>14</v>
      </c>
      <c r="G379" s="7">
        <v>125116547</v>
      </c>
      <c r="H379" s="7">
        <v>86920957</v>
      </c>
      <c r="I379" s="7">
        <f>OPERATORS[[#This Row],[Total Sales]]-OPERATORS[[#This Row],[Total Payouts]]</f>
        <v>38195590</v>
      </c>
      <c r="J379" s="7">
        <v>13038144</v>
      </c>
      <c r="K379" s="7">
        <v>8241166</v>
      </c>
      <c r="L379" s="8">
        <v>21279310</v>
      </c>
      <c r="M379" s="41"/>
    </row>
    <row r="380" spans="1:14" ht="14" x14ac:dyDescent="0.3">
      <c r="A380" s="18">
        <v>166</v>
      </c>
      <c r="B380" s="19" t="s">
        <v>3</v>
      </c>
      <c r="C380" s="20" t="s">
        <v>71</v>
      </c>
      <c r="D380" s="20" t="str">
        <f t="shared" si="14"/>
        <v/>
      </c>
      <c r="E380" s="5">
        <v>45657</v>
      </c>
      <c r="F380" s="20" t="s">
        <v>14</v>
      </c>
      <c r="G380" s="7">
        <v>209904522</v>
      </c>
      <c r="H380" s="7">
        <v>65961840</v>
      </c>
      <c r="I380" s="7">
        <f>OPERATORS[[#This Row],[Total Sales]]-OPERATORS[[#This Row],[Total Payouts]]</f>
        <v>143942682</v>
      </c>
      <c r="J380" s="7">
        <v>0</v>
      </c>
      <c r="K380" s="7">
        <v>43182805</v>
      </c>
      <c r="L380" s="8">
        <v>43182805</v>
      </c>
      <c r="M380" s="41"/>
    </row>
    <row r="381" spans="1:14" ht="14" x14ac:dyDescent="0.3">
      <c r="A381" s="18">
        <v>167</v>
      </c>
      <c r="B381" s="19" t="s">
        <v>12</v>
      </c>
      <c r="C381" s="20" t="s">
        <v>67</v>
      </c>
      <c r="D381" s="20" t="str">
        <f t="shared" si="14"/>
        <v/>
      </c>
      <c r="E381" s="5">
        <v>45657</v>
      </c>
      <c r="F381" s="20" t="s">
        <v>14</v>
      </c>
      <c r="G381" s="7">
        <v>588159294</v>
      </c>
      <c r="H381" s="7">
        <v>275257032</v>
      </c>
      <c r="I381" s="7">
        <f>OPERATORS[[#This Row],[Total Sales]]-OPERATORS[[#This Row],[Total Payouts]]</f>
        <v>312902262</v>
      </c>
      <c r="J381" s="7">
        <v>41288555</v>
      </c>
      <c r="K381" s="7">
        <v>63301938</v>
      </c>
      <c r="L381" s="8">
        <v>104590493</v>
      </c>
      <c r="M381" s="41"/>
    </row>
    <row r="382" spans="1:14" ht="14" x14ac:dyDescent="0.3">
      <c r="A382" s="18">
        <f>ROW(A381)</f>
        <v>381</v>
      </c>
      <c r="B382" s="19" t="s">
        <v>3</v>
      </c>
      <c r="C382" s="20" t="s">
        <v>57</v>
      </c>
      <c r="D382" s="20" t="str">
        <f t="shared" si="14"/>
        <v/>
      </c>
      <c r="E382" s="5">
        <v>45657</v>
      </c>
      <c r="F382" s="20" t="s">
        <v>14</v>
      </c>
      <c r="G382" s="7">
        <v>85443400</v>
      </c>
      <c r="H382" s="7">
        <v>17550000</v>
      </c>
      <c r="I382" s="7">
        <f>OPERATORS[[#This Row],[Total Sales]]-OPERATORS[[#This Row],[Total Payouts]]</f>
        <v>67893400</v>
      </c>
      <c r="J382" s="7">
        <v>0</v>
      </c>
      <c r="K382" s="7">
        <v>20368020</v>
      </c>
      <c r="L382" s="8">
        <v>20368020</v>
      </c>
      <c r="M382" s="41"/>
    </row>
    <row r="383" spans="1:14" ht="14" x14ac:dyDescent="0.3">
      <c r="A383" s="18">
        <v>169</v>
      </c>
      <c r="B383" s="19" t="s">
        <v>12</v>
      </c>
      <c r="C383" s="20" t="s">
        <v>45</v>
      </c>
      <c r="D383" s="20" t="str">
        <f t="shared" si="14"/>
        <v/>
      </c>
      <c r="E383" s="5">
        <v>45657</v>
      </c>
      <c r="F383" s="20" t="s">
        <v>14</v>
      </c>
      <c r="G383" s="7">
        <v>4050207444</v>
      </c>
      <c r="H383" s="7">
        <v>3153943934</v>
      </c>
      <c r="I383" s="7">
        <f>OPERATORS[[#This Row],[Total Sales]]-OPERATORS[[#This Row],[Total Payouts]]</f>
        <v>896263510</v>
      </c>
      <c r="J383" s="7">
        <v>473091590</v>
      </c>
      <c r="K383" s="7">
        <v>189771988</v>
      </c>
      <c r="L383" s="8">
        <v>662863578</v>
      </c>
      <c r="M383" s="41"/>
      <c r="N383" s="41" t="s">
        <v>24</v>
      </c>
    </row>
    <row r="384" spans="1:14" ht="14" x14ac:dyDescent="0.3">
      <c r="A384" s="18">
        <f>ROW(A383)</f>
        <v>383</v>
      </c>
      <c r="B384" s="19" t="s">
        <v>16</v>
      </c>
      <c r="C384" s="20" t="s">
        <v>45</v>
      </c>
      <c r="D384" s="20" t="str">
        <f t="shared" si="14"/>
        <v/>
      </c>
      <c r="E384" s="5">
        <v>45657</v>
      </c>
      <c r="F384" s="20" t="s">
        <v>14</v>
      </c>
      <c r="G384" s="7">
        <v>4866838469</v>
      </c>
      <c r="H384" s="7">
        <v>3749502859</v>
      </c>
      <c r="I384" s="7">
        <f>OPERATORS[[#This Row],[Total Sales]]-OPERATORS[[#This Row],[Total Payouts]]</f>
        <v>1117335610</v>
      </c>
      <c r="J384" s="7">
        <v>0</v>
      </c>
      <c r="K384" s="7">
        <v>335200683</v>
      </c>
      <c r="L384" s="8">
        <v>335200683</v>
      </c>
      <c r="M384" s="41"/>
    </row>
    <row r="385" spans="1:13" ht="14" x14ac:dyDescent="0.3">
      <c r="A385" s="18">
        <v>170</v>
      </c>
      <c r="B385" s="19" t="s">
        <v>3</v>
      </c>
      <c r="C385" s="20" t="s">
        <v>48</v>
      </c>
      <c r="D385" s="20" t="str">
        <f t="shared" si="14"/>
        <v/>
      </c>
      <c r="E385" s="5">
        <v>45657</v>
      </c>
      <c r="F385" s="20" t="s">
        <v>14</v>
      </c>
      <c r="G385" s="7">
        <v>1215353500</v>
      </c>
      <c r="H385" s="7">
        <v>29969000</v>
      </c>
      <c r="I385" s="7">
        <f>OPERATORS[[#This Row],[Total Sales]]-OPERATORS[[#This Row],[Total Payouts]]</f>
        <v>1185384500</v>
      </c>
      <c r="J385" s="7">
        <v>0</v>
      </c>
      <c r="K385" s="7">
        <v>364606050</v>
      </c>
      <c r="L385" s="8">
        <v>364606050</v>
      </c>
      <c r="M385" s="41"/>
    </row>
    <row r="386" spans="1:13" ht="14" x14ac:dyDescent="0.3">
      <c r="A386" s="18">
        <f>ROW(A385)</f>
        <v>385</v>
      </c>
      <c r="B386" s="19" t="s">
        <v>16</v>
      </c>
      <c r="C386" s="20" t="s">
        <v>59</v>
      </c>
      <c r="D386" s="20" t="str">
        <f t="shared" si="14"/>
        <v/>
      </c>
      <c r="E386" s="5">
        <v>45657</v>
      </c>
      <c r="F386" s="20" t="s">
        <v>14</v>
      </c>
      <c r="G386" s="7">
        <v>59792500</v>
      </c>
      <c r="H386" s="7">
        <v>48682985</v>
      </c>
      <c r="I386" s="7">
        <f>OPERATORS[[#This Row],[Total Sales]]-OPERATORS[[#This Row],[Total Payouts]]</f>
        <v>11109515</v>
      </c>
      <c r="J386" s="7">
        <v>0</v>
      </c>
      <c r="K386" s="7">
        <v>3332855</v>
      </c>
      <c r="L386" s="8">
        <v>3332855</v>
      </c>
      <c r="M386" s="41"/>
    </row>
    <row r="387" spans="1:13" ht="14" x14ac:dyDescent="0.3">
      <c r="A387" s="18">
        <f>ROW(A386)</f>
        <v>386</v>
      </c>
      <c r="B387" s="19" t="s">
        <v>12</v>
      </c>
      <c r="C387" s="20" t="s">
        <v>42</v>
      </c>
      <c r="D387" s="20" t="str">
        <f t="shared" si="14"/>
        <v/>
      </c>
      <c r="E387" s="5">
        <v>45657</v>
      </c>
      <c r="F387" s="20" t="s">
        <v>14</v>
      </c>
      <c r="G387" s="7">
        <v>47663508</v>
      </c>
      <c r="H387" s="7">
        <v>29338481</v>
      </c>
      <c r="I387" s="7">
        <f>OPERATORS[[#This Row],[Total Sales]]-OPERATORS[[#This Row],[Total Payouts]]</f>
        <v>18325027</v>
      </c>
      <c r="J387" s="7">
        <v>4400772</v>
      </c>
      <c r="K387" s="7">
        <v>3803019</v>
      </c>
      <c r="L387" s="8">
        <v>8203791</v>
      </c>
      <c r="M387" s="41"/>
    </row>
    <row r="388" spans="1:13" ht="14" x14ac:dyDescent="0.3">
      <c r="A388" s="18">
        <v>173</v>
      </c>
      <c r="B388" s="19" t="s">
        <v>3</v>
      </c>
      <c r="C388" s="20" t="s">
        <v>42</v>
      </c>
      <c r="D388" s="20" t="str">
        <f t="shared" si="14"/>
        <v/>
      </c>
      <c r="E388" s="5">
        <v>45657</v>
      </c>
      <c r="F388" s="20" t="s">
        <v>14</v>
      </c>
      <c r="G388" s="7">
        <v>203563423</v>
      </c>
      <c r="H388" s="7">
        <v>163947703</v>
      </c>
      <c r="I388" s="7">
        <f>OPERATORS[[#This Row],[Total Sales]]-OPERATORS[[#This Row],[Total Payouts]]</f>
        <v>39615720</v>
      </c>
      <c r="J388" s="7">
        <v>0</v>
      </c>
      <c r="K388" s="7">
        <v>11884716</v>
      </c>
      <c r="L388" s="8">
        <v>11884716</v>
      </c>
      <c r="M388" s="41"/>
    </row>
    <row r="389" spans="1:13" ht="14" x14ac:dyDescent="0.3">
      <c r="A389" s="18">
        <f>ROW(A388)</f>
        <v>388</v>
      </c>
      <c r="B389" s="19" t="s">
        <v>12</v>
      </c>
      <c r="C389" s="20" t="s">
        <v>64</v>
      </c>
      <c r="D389" s="20" t="str">
        <f t="shared" si="14"/>
        <v/>
      </c>
      <c r="E389" s="5">
        <v>45657</v>
      </c>
      <c r="F389" s="20" t="s">
        <v>14</v>
      </c>
      <c r="G389" s="7">
        <v>301477538</v>
      </c>
      <c r="H389" s="7">
        <v>153347792</v>
      </c>
      <c r="I389" s="7">
        <f>OPERATORS[[#This Row],[Total Sales]]-OPERATORS[[#This Row],[Total Payouts]]</f>
        <v>148129746</v>
      </c>
      <c r="J389" s="7">
        <v>23002169</v>
      </c>
      <c r="K389" s="7">
        <v>30212003</v>
      </c>
      <c r="L389" s="8">
        <v>53214172</v>
      </c>
      <c r="M389" s="41"/>
    </row>
    <row r="390" spans="1:13" ht="14" x14ac:dyDescent="0.3">
      <c r="A390" s="18">
        <v>174</v>
      </c>
      <c r="B390" s="19" t="s">
        <v>3</v>
      </c>
      <c r="C390" s="20" t="s">
        <v>64</v>
      </c>
      <c r="D390" s="20" t="str">
        <f t="shared" si="14"/>
        <v/>
      </c>
      <c r="E390" s="5">
        <v>45657</v>
      </c>
      <c r="F390" s="20" t="s">
        <v>14</v>
      </c>
      <c r="G390" s="7">
        <v>548643808</v>
      </c>
      <c r="H390" s="7">
        <v>347661957</v>
      </c>
      <c r="I390" s="7">
        <f>OPERATORS[[#This Row],[Total Sales]]-OPERATORS[[#This Row],[Total Payouts]]</f>
        <v>200981851</v>
      </c>
      <c r="J390" s="7">
        <v>0</v>
      </c>
      <c r="K390" s="7">
        <v>60294555</v>
      </c>
      <c r="L390" s="8">
        <v>60294555</v>
      </c>
      <c r="M390" s="41"/>
    </row>
    <row r="391" spans="1:13" ht="14" x14ac:dyDescent="0.3">
      <c r="A391" s="18">
        <f>ROW(A390)</f>
        <v>390</v>
      </c>
      <c r="B391" s="19" t="s">
        <v>16</v>
      </c>
      <c r="C391" s="20" t="s">
        <v>77</v>
      </c>
      <c r="D391" s="20"/>
      <c r="E391" s="5">
        <v>45657</v>
      </c>
      <c r="F391" s="20" t="s">
        <v>14</v>
      </c>
      <c r="G391" s="7">
        <v>792403900</v>
      </c>
      <c r="H391" s="7">
        <v>642502580</v>
      </c>
      <c r="I391" s="7">
        <f>OPERATORS[[#This Row],[Total Sales]]-OPERATORS[[#This Row],[Total Payouts]]</f>
        <v>149901320</v>
      </c>
      <c r="J391" s="7">
        <v>0</v>
      </c>
      <c r="K391" s="7">
        <v>44970396</v>
      </c>
      <c r="L391" s="8">
        <v>44970396</v>
      </c>
      <c r="M391" s="41"/>
    </row>
    <row r="392" spans="1:13" ht="14" x14ac:dyDescent="0.3">
      <c r="A392" s="18">
        <f>ROW(A391)</f>
        <v>391</v>
      </c>
      <c r="B392" s="19" t="s">
        <v>12</v>
      </c>
      <c r="C392" s="20" t="s">
        <v>29</v>
      </c>
      <c r="D392" s="20" t="str">
        <f t="shared" ref="D392:D424" si="15">IFERROR(VLOOKUP(C392,OPerators_Range,2,FALSE),"")</f>
        <v/>
      </c>
      <c r="E392" s="5">
        <v>45657</v>
      </c>
      <c r="F392" s="20" t="s">
        <v>14</v>
      </c>
      <c r="G392" s="7">
        <v>991914732</v>
      </c>
      <c r="H392" s="7">
        <v>949432403</v>
      </c>
      <c r="I392" s="7">
        <f>OPERATORS[[#This Row],[Total Sales]]-OPERATORS[[#This Row],[Total Payouts]]</f>
        <v>42482329</v>
      </c>
      <c r="J392" s="7">
        <v>142414860</v>
      </c>
      <c r="K392" s="7">
        <v>36368518</v>
      </c>
      <c r="L392" s="8">
        <v>178783378</v>
      </c>
      <c r="M392" s="41"/>
    </row>
    <row r="393" spans="1:13" ht="14" x14ac:dyDescent="0.3">
      <c r="A393" s="18">
        <v>190</v>
      </c>
      <c r="B393" s="19" t="s">
        <v>12</v>
      </c>
      <c r="C393" s="20" t="s">
        <v>27</v>
      </c>
      <c r="D393" s="20" t="str">
        <f t="shared" si="15"/>
        <v/>
      </c>
      <c r="E393" s="5">
        <v>45657</v>
      </c>
      <c r="F393" s="20" t="s">
        <v>14</v>
      </c>
      <c r="G393" s="7" t="s">
        <v>19</v>
      </c>
      <c r="H393" s="7" t="s">
        <v>19</v>
      </c>
      <c r="I393" s="7">
        <v>0</v>
      </c>
      <c r="J393" s="7" t="s">
        <v>19</v>
      </c>
      <c r="K393" s="7" t="s">
        <v>19</v>
      </c>
      <c r="L393" s="8" t="s">
        <v>19</v>
      </c>
      <c r="M393" s="41"/>
    </row>
    <row r="394" spans="1:13" ht="14" x14ac:dyDescent="0.3">
      <c r="A394" s="18">
        <f>ROW(A393)</f>
        <v>393</v>
      </c>
      <c r="B394" s="19" t="s">
        <v>16</v>
      </c>
      <c r="C394" s="20" t="s">
        <v>27</v>
      </c>
      <c r="D394" s="20" t="str">
        <f t="shared" si="15"/>
        <v/>
      </c>
      <c r="E394" s="5">
        <v>45657</v>
      </c>
      <c r="F394" s="20" t="s">
        <v>14</v>
      </c>
      <c r="G394" s="7">
        <v>109104416</v>
      </c>
      <c r="H394" s="7">
        <v>83007009</v>
      </c>
      <c r="I394" s="7">
        <f>OPERATORS[[#This Row],[Total Sales]]-OPERATORS[[#This Row],[Total Payouts]]</f>
        <v>26097407</v>
      </c>
      <c r="J394" s="7">
        <v>0</v>
      </c>
      <c r="K394" s="7">
        <v>7829222</v>
      </c>
      <c r="L394" s="8">
        <v>7829222</v>
      </c>
      <c r="M394" s="41"/>
    </row>
    <row r="395" spans="1:13" ht="14" x14ac:dyDescent="0.3">
      <c r="A395" s="18">
        <f>ROW(A394)</f>
        <v>394</v>
      </c>
      <c r="B395" s="19" t="s">
        <v>12</v>
      </c>
      <c r="C395" s="20" t="s">
        <v>50</v>
      </c>
      <c r="D395" s="20" t="str">
        <f t="shared" si="15"/>
        <v/>
      </c>
      <c r="E395" s="5">
        <v>45657</v>
      </c>
      <c r="F395" s="20" t="s">
        <v>14</v>
      </c>
      <c r="G395" s="7">
        <v>307665298</v>
      </c>
      <c r="H395" s="7">
        <v>284996293</v>
      </c>
      <c r="I395" s="7">
        <f>OPERATORS[[#This Row],[Total Sales]]-OPERATORS[[#This Row],[Total Payouts]]</f>
        <v>22669005</v>
      </c>
      <c r="J395" s="7">
        <v>42749444</v>
      </c>
      <c r="K395" s="7">
        <v>5545347</v>
      </c>
      <c r="L395" s="8">
        <v>48294791</v>
      </c>
      <c r="M395" s="41"/>
    </row>
    <row r="396" spans="1:13" ht="14" x14ac:dyDescent="0.3">
      <c r="A396" s="18">
        <v>216</v>
      </c>
      <c r="B396" s="19" t="s">
        <v>12</v>
      </c>
      <c r="C396" s="20" t="s">
        <v>50</v>
      </c>
      <c r="D396" s="20" t="str">
        <f t="shared" si="15"/>
        <v/>
      </c>
      <c r="E396" s="5">
        <v>45657</v>
      </c>
      <c r="F396" s="20" t="s">
        <v>14</v>
      </c>
      <c r="G396" s="7">
        <v>188515878</v>
      </c>
      <c r="H396" s="7">
        <v>183943806</v>
      </c>
      <c r="I396" s="7">
        <f>OPERATORS[[#This Row],[Total Sales]]-OPERATORS[[#This Row],[Total Payouts]]</f>
        <v>4572072</v>
      </c>
      <c r="J396" s="7"/>
      <c r="K396" s="7">
        <v>2017748</v>
      </c>
      <c r="L396" s="8">
        <v>2017748</v>
      </c>
      <c r="M396" s="41"/>
    </row>
    <row r="397" spans="1:13" ht="14" x14ac:dyDescent="0.3">
      <c r="A397" s="18">
        <v>236</v>
      </c>
      <c r="B397" s="19" t="s">
        <v>12</v>
      </c>
      <c r="C397" s="20" t="s">
        <v>72</v>
      </c>
      <c r="D397" s="20" t="str">
        <f t="shared" si="15"/>
        <v/>
      </c>
      <c r="E397" s="5">
        <v>45657</v>
      </c>
      <c r="F397" s="20" t="s">
        <v>14</v>
      </c>
      <c r="G397" s="7">
        <v>59416287</v>
      </c>
      <c r="H397" s="7">
        <v>51881476</v>
      </c>
      <c r="I397" s="7">
        <f>OPERATORS[[#This Row],[Total Sales]]-OPERATORS[[#This Row],[Total Payouts]]</f>
        <v>7534811</v>
      </c>
      <c r="J397" s="7">
        <v>7782221</v>
      </c>
      <c r="K397" s="7">
        <v>3082670</v>
      </c>
      <c r="L397" s="8">
        <f>OPERATORS[[#This Row],[Withholding Tax]]+OPERATORS[[#This Row],[Gaming Tax]]</f>
        <v>10864891</v>
      </c>
      <c r="M397" s="41"/>
    </row>
    <row r="398" spans="1:13" ht="14" x14ac:dyDescent="0.3">
      <c r="A398" s="18">
        <f>ROW(A397)</f>
        <v>397</v>
      </c>
      <c r="B398" s="19" t="s">
        <v>16</v>
      </c>
      <c r="C398" s="20" t="s">
        <v>72</v>
      </c>
      <c r="D398" s="20" t="str">
        <f t="shared" si="15"/>
        <v/>
      </c>
      <c r="E398" s="5">
        <v>45657</v>
      </c>
      <c r="F398" s="20" t="s">
        <v>14</v>
      </c>
      <c r="G398" s="7">
        <v>119491963</v>
      </c>
      <c r="H398" s="7">
        <v>109999704</v>
      </c>
      <c r="I398" s="7">
        <f>OPERATORS[[#This Row],[Total Sales]]-OPERATORS[[#This Row],[Total Payouts]]</f>
        <v>9492259</v>
      </c>
      <c r="J398" s="7">
        <v>0</v>
      </c>
      <c r="K398" s="7">
        <v>3192646</v>
      </c>
      <c r="L398" s="8">
        <f>OPERATORS[[#This Row],[Withholding Tax]]+OPERATORS[[#This Row],[Gaming Tax]]</f>
        <v>3192646</v>
      </c>
      <c r="M398" s="41"/>
    </row>
    <row r="399" spans="1:13" ht="14" x14ac:dyDescent="0.3">
      <c r="A399" s="18">
        <v>270</v>
      </c>
      <c r="B399" s="19" t="s">
        <v>3</v>
      </c>
      <c r="C399" s="20" t="s">
        <v>54</v>
      </c>
      <c r="D399" s="20" t="str">
        <f t="shared" si="15"/>
        <v/>
      </c>
      <c r="E399" s="5">
        <v>45657</v>
      </c>
      <c r="F399" s="20" t="s">
        <v>14</v>
      </c>
      <c r="G399" s="7">
        <v>149904000</v>
      </c>
      <c r="H399" s="7">
        <v>89527000</v>
      </c>
      <c r="I399" s="7">
        <v>60377000</v>
      </c>
      <c r="J399" s="7"/>
      <c r="K399" s="7">
        <v>18113100</v>
      </c>
      <c r="L399" s="8">
        <f>OPERATORS[[#This Row],[Withholding Tax]]+OPERATORS[[#This Row],[Gaming Tax]]</f>
        <v>18113100</v>
      </c>
      <c r="M399" s="41"/>
    </row>
    <row r="400" spans="1:13" ht="14" x14ac:dyDescent="0.3">
      <c r="A400" s="18">
        <f>ROW(A399)</f>
        <v>399</v>
      </c>
      <c r="B400" s="19" t="s">
        <v>16</v>
      </c>
      <c r="C400" s="20" t="s">
        <v>63</v>
      </c>
      <c r="D400" s="20" t="str">
        <f t="shared" si="15"/>
        <v/>
      </c>
      <c r="E400" s="5">
        <v>45657</v>
      </c>
      <c r="F400" s="20" t="s">
        <v>14</v>
      </c>
      <c r="G400" s="7">
        <v>100660000</v>
      </c>
      <c r="H400" s="7">
        <v>96140000</v>
      </c>
      <c r="I400" s="7">
        <f>OPERATORS[[#This Row],[Total Sales]]-OPERATORS[[#This Row],[Total Payouts]]</f>
        <v>4520000</v>
      </c>
      <c r="J400" s="7">
        <v>0</v>
      </c>
      <c r="K400" s="7">
        <v>1356000</v>
      </c>
      <c r="L400" s="8">
        <f>OPERATORS[[#This Row],[Withholding Tax]]+OPERATORS[[#This Row],[Gaming Tax]]</f>
        <v>1356000</v>
      </c>
      <c r="M400" s="41"/>
    </row>
    <row r="401" spans="1:13" ht="14" x14ac:dyDescent="0.3">
      <c r="A401" s="18">
        <v>294</v>
      </c>
      <c r="B401" s="3" t="s">
        <v>3</v>
      </c>
      <c r="C401" s="20" t="s">
        <v>53</v>
      </c>
      <c r="D401" s="35" t="str">
        <f t="shared" si="15"/>
        <v/>
      </c>
      <c r="E401" s="5">
        <v>45657</v>
      </c>
      <c r="F401" s="6" t="s">
        <v>14</v>
      </c>
      <c r="G401" s="36">
        <v>478490900</v>
      </c>
      <c r="H401" s="36">
        <v>314184750</v>
      </c>
      <c r="I401" s="7">
        <f>OPERATORS[[#This Row],[Total Sales]]-OPERATORS[[#This Row],[Total Payouts]]</f>
        <v>164306150</v>
      </c>
      <c r="J401" s="36">
        <v>0</v>
      </c>
      <c r="K401" s="36">
        <v>56715495</v>
      </c>
      <c r="L401" s="8">
        <f>OPERATORS[[#This Row],[Withholding Tax]]+OPERATORS[[#This Row],[Gaming Tax]]</f>
        <v>56715495</v>
      </c>
      <c r="M401" s="41"/>
    </row>
    <row r="402" spans="1:13" ht="14" x14ac:dyDescent="0.3">
      <c r="A402" s="18" t="e">
        <f>ROW(#REF!)</f>
        <v>#REF!</v>
      </c>
      <c r="B402" s="3" t="s">
        <v>12</v>
      </c>
      <c r="C402" s="20" t="s">
        <v>68</v>
      </c>
      <c r="D402" s="35" t="str">
        <f t="shared" si="15"/>
        <v/>
      </c>
      <c r="E402" s="5">
        <v>45657</v>
      </c>
      <c r="F402" s="6" t="s">
        <v>14</v>
      </c>
      <c r="G402" s="36">
        <v>151842224</v>
      </c>
      <c r="H402" s="36">
        <v>152082074</v>
      </c>
      <c r="I402" s="7">
        <f>OPERATORS[[#This Row],[Total Sales]]-OPERATORS[[#This Row],[Total Payouts]]</f>
        <v>-239850</v>
      </c>
      <c r="J402" s="36">
        <v>22812311</v>
      </c>
      <c r="K402" s="36">
        <v>5240583</v>
      </c>
      <c r="L402" s="8">
        <f>OPERATORS[[#This Row],[Withholding Tax]]+OPERATORS[[#This Row],[Gaming Tax]]</f>
        <v>28052894</v>
      </c>
      <c r="M402" s="41"/>
    </row>
    <row r="403" spans="1:13" ht="14" x14ac:dyDescent="0.3">
      <c r="A403" s="18">
        <v>304</v>
      </c>
      <c r="B403" s="3" t="s">
        <v>12</v>
      </c>
      <c r="C403" s="6" t="s">
        <v>54</v>
      </c>
      <c r="D403" s="35" t="str">
        <f t="shared" si="15"/>
        <v/>
      </c>
      <c r="E403" s="5">
        <v>45657</v>
      </c>
      <c r="F403" s="6" t="s">
        <v>14</v>
      </c>
      <c r="G403" s="7">
        <v>224048400</v>
      </c>
      <c r="H403" s="7">
        <v>171670780</v>
      </c>
      <c r="I403" s="7">
        <f>OPERATORS[[#This Row],[Total Sales]]-OPERATORS[[#This Row],[Total Payouts]]</f>
        <v>52377620</v>
      </c>
      <c r="J403" s="7">
        <v>25750617</v>
      </c>
      <c r="K403" s="7">
        <v>13767516</v>
      </c>
      <c r="L403" s="8">
        <f>OPERATORS[[#This Row],[Withholding Tax]]+OPERATORS[[#This Row],[Gaming Tax]]</f>
        <v>39518133</v>
      </c>
      <c r="M403" s="41"/>
    </row>
    <row r="404" spans="1:13" ht="14" x14ac:dyDescent="0.3">
      <c r="A404" s="18">
        <v>308</v>
      </c>
      <c r="B404" s="3" t="s">
        <v>12</v>
      </c>
      <c r="C404" s="20" t="s">
        <v>60</v>
      </c>
      <c r="D404" s="35" t="str">
        <f t="shared" si="15"/>
        <v/>
      </c>
      <c r="E404" s="45">
        <v>45657</v>
      </c>
      <c r="F404" s="36" t="s">
        <v>14</v>
      </c>
      <c r="G404" s="36">
        <v>10598318975</v>
      </c>
      <c r="H404" s="36">
        <v>8429752323</v>
      </c>
      <c r="I404" s="7">
        <f>OPERATORS[[#This Row],[Total Sales]]-OPERATORS[[#This Row],[Total Payouts]]</f>
        <v>2168566652</v>
      </c>
      <c r="J404" s="36">
        <v>1264462848</v>
      </c>
      <c r="K404" s="36">
        <v>433713330</v>
      </c>
      <c r="L404" s="8">
        <f>OPERATORS[[#This Row],[Withholding Tax]]+OPERATORS[[#This Row],[Gaming Tax]]</f>
        <v>1698176178</v>
      </c>
      <c r="M404" s="41"/>
    </row>
    <row r="405" spans="1:13" ht="14" x14ac:dyDescent="0.3">
      <c r="A405" s="18">
        <f t="shared" ref="A405:A410" si="16">ROW(A404)</f>
        <v>404</v>
      </c>
      <c r="B405" s="3" t="s">
        <v>16</v>
      </c>
      <c r="C405" s="20" t="s">
        <v>60</v>
      </c>
      <c r="D405" s="35" t="str">
        <f t="shared" si="15"/>
        <v/>
      </c>
      <c r="E405" s="45">
        <v>45657</v>
      </c>
      <c r="F405" s="36" t="s">
        <v>14</v>
      </c>
      <c r="G405" s="36">
        <v>40685651419</v>
      </c>
      <c r="H405" s="36">
        <v>38605349572</v>
      </c>
      <c r="I405" s="7">
        <f>OPERATORS[[#This Row],[Total Sales]]-OPERATORS[[#This Row],[Total Payouts]]</f>
        <v>2080301847</v>
      </c>
      <c r="J405" s="36">
        <v>0</v>
      </c>
      <c r="K405" s="36">
        <v>624090554</v>
      </c>
      <c r="L405" s="8">
        <f>OPERATORS[[#This Row],[Withholding Tax]]+OPERATORS[[#This Row],[Gaming Tax]]</f>
        <v>624090554</v>
      </c>
      <c r="M405" s="41"/>
    </row>
    <row r="406" spans="1:13" ht="14" x14ac:dyDescent="0.3">
      <c r="A406" s="18">
        <f t="shared" si="16"/>
        <v>405</v>
      </c>
      <c r="B406" s="3" t="s">
        <v>12</v>
      </c>
      <c r="C406" s="6" t="s">
        <v>58</v>
      </c>
      <c r="D406" s="35" t="str">
        <f t="shared" si="15"/>
        <v/>
      </c>
      <c r="E406" s="5">
        <v>45657</v>
      </c>
      <c r="F406" s="20" t="s">
        <v>14</v>
      </c>
      <c r="G406" s="7">
        <v>6462665452</v>
      </c>
      <c r="H406" s="7">
        <v>6169598573</v>
      </c>
      <c r="I406" s="7">
        <v>293066879</v>
      </c>
      <c r="J406" s="7">
        <v>925439786</v>
      </c>
      <c r="K406" s="7">
        <v>62977869</v>
      </c>
      <c r="L406" s="8">
        <f>OPERATORS[[#This Row],[Withholding Tax]]+OPERATORS[[#This Row],[Gaming Tax]]</f>
        <v>988417655</v>
      </c>
      <c r="M406" s="41"/>
    </row>
    <row r="407" spans="1:13" ht="14" x14ac:dyDescent="0.3">
      <c r="A407" s="18">
        <f t="shared" si="16"/>
        <v>406</v>
      </c>
      <c r="B407" s="3" t="s">
        <v>16</v>
      </c>
      <c r="C407" s="6" t="s">
        <v>58</v>
      </c>
      <c r="D407" s="35" t="str">
        <f t="shared" si="15"/>
        <v/>
      </c>
      <c r="E407" s="5">
        <v>45657</v>
      </c>
      <c r="F407" s="20" t="s">
        <v>14</v>
      </c>
      <c r="G407" s="7">
        <v>4804775010</v>
      </c>
      <c r="H407" s="7">
        <v>4611993950</v>
      </c>
      <c r="I407" s="7">
        <v>192781060</v>
      </c>
      <c r="J407" s="7"/>
      <c r="K407" s="7">
        <v>57834318</v>
      </c>
      <c r="L407" s="8">
        <f>OPERATORS[[#This Row],[Withholding Tax]]+OPERATORS[[#This Row],[Gaming Tax]]</f>
        <v>57834318</v>
      </c>
      <c r="M407" s="41"/>
    </row>
    <row r="408" spans="1:13" ht="14" x14ac:dyDescent="0.3">
      <c r="A408" s="18">
        <f t="shared" si="16"/>
        <v>407</v>
      </c>
      <c r="B408" s="3" t="s">
        <v>12</v>
      </c>
      <c r="C408" s="6" t="s">
        <v>35</v>
      </c>
      <c r="D408" s="35" t="str">
        <f t="shared" si="15"/>
        <v/>
      </c>
      <c r="E408" s="5">
        <v>45657</v>
      </c>
      <c r="F408" s="20" t="s">
        <v>14</v>
      </c>
      <c r="G408" s="7">
        <v>2043941000</v>
      </c>
      <c r="H408" s="7">
        <v>1976135000</v>
      </c>
      <c r="I408" s="7">
        <v>67806000</v>
      </c>
      <c r="J408" s="7">
        <v>296420250</v>
      </c>
      <c r="K408" s="7">
        <v>13561200</v>
      </c>
      <c r="L408" s="8">
        <f>OPERATORS[[#This Row],[Withholding Tax]]+OPERATORS[[#This Row],[Gaming Tax]]</f>
        <v>309981450</v>
      </c>
      <c r="M408" s="41"/>
    </row>
    <row r="409" spans="1:13" ht="14" x14ac:dyDescent="0.3">
      <c r="A409" s="18">
        <f t="shared" si="16"/>
        <v>408</v>
      </c>
      <c r="B409" s="3" t="s">
        <v>16</v>
      </c>
      <c r="C409" s="6" t="s">
        <v>35</v>
      </c>
      <c r="D409" s="35" t="str">
        <f t="shared" si="15"/>
        <v/>
      </c>
      <c r="E409" s="5">
        <v>45657</v>
      </c>
      <c r="F409" s="20" t="s">
        <v>14</v>
      </c>
      <c r="G409" s="7">
        <v>954759700</v>
      </c>
      <c r="H409" s="7">
        <v>907287339</v>
      </c>
      <c r="I409" s="7">
        <v>47472361</v>
      </c>
      <c r="J409" s="7"/>
      <c r="K409" s="7">
        <v>14241708</v>
      </c>
      <c r="L409" s="8">
        <f>OPERATORS[[#This Row],[Withholding Tax]]+OPERATORS[[#This Row],[Gaming Tax]]</f>
        <v>14241708</v>
      </c>
      <c r="M409" s="41"/>
    </row>
    <row r="410" spans="1:13" ht="14" x14ac:dyDescent="0.3">
      <c r="A410" s="18">
        <f t="shared" si="16"/>
        <v>409</v>
      </c>
      <c r="B410" s="3" t="s">
        <v>12</v>
      </c>
      <c r="C410" s="20" t="s">
        <v>73</v>
      </c>
      <c r="D410" s="35" t="str">
        <f t="shared" si="15"/>
        <v/>
      </c>
      <c r="E410" s="5">
        <v>45688</v>
      </c>
      <c r="F410" s="6" t="s">
        <v>13</v>
      </c>
      <c r="G410" s="7">
        <v>0</v>
      </c>
      <c r="H410" s="7">
        <v>0</v>
      </c>
      <c r="I410" s="7">
        <f>OPERATORS[[#This Row],[Total Sales]]-OPERATORS[[#This Row],[Total Payouts]]</f>
        <v>0</v>
      </c>
      <c r="J410" s="7">
        <v>0</v>
      </c>
      <c r="K410" s="7">
        <v>0</v>
      </c>
      <c r="L410" s="8">
        <v>0</v>
      </c>
      <c r="M410" s="41"/>
    </row>
    <row r="411" spans="1:13" ht="14" x14ac:dyDescent="0.3">
      <c r="A411" s="18">
        <v>175</v>
      </c>
      <c r="B411" s="3" t="s">
        <v>3</v>
      </c>
      <c r="C411" s="20" t="s">
        <v>73</v>
      </c>
      <c r="D411" s="35" t="str">
        <f t="shared" si="15"/>
        <v/>
      </c>
      <c r="E411" s="5">
        <v>45688</v>
      </c>
      <c r="F411" s="6" t="s">
        <v>13</v>
      </c>
      <c r="G411" s="7">
        <v>0</v>
      </c>
      <c r="H411" s="7">
        <v>0</v>
      </c>
      <c r="I411" s="7">
        <f>OPERATORS[[#This Row],[Total Sales]]-OPERATORS[[#This Row],[Total Payouts]]</f>
        <v>0</v>
      </c>
      <c r="J411" s="7">
        <v>0</v>
      </c>
      <c r="K411" s="7">
        <v>0</v>
      </c>
      <c r="L411" s="8">
        <v>0</v>
      </c>
      <c r="M411" s="41"/>
    </row>
    <row r="412" spans="1:13" ht="14" x14ac:dyDescent="0.3">
      <c r="A412" s="18">
        <f>ROW(A411)</f>
        <v>411</v>
      </c>
      <c r="B412" s="3" t="s">
        <v>16</v>
      </c>
      <c r="C412" s="20" t="s">
        <v>69</v>
      </c>
      <c r="D412" s="35" t="str">
        <f t="shared" si="15"/>
        <v/>
      </c>
      <c r="E412" s="5">
        <v>45688</v>
      </c>
      <c r="F412" s="6" t="s">
        <v>13</v>
      </c>
      <c r="G412" s="7">
        <v>629616500</v>
      </c>
      <c r="H412" s="7">
        <v>513629878</v>
      </c>
      <c r="I412" s="7">
        <f>OPERATORS[[#This Row],[Total Sales]]-OPERATORS[[#This Row],[Total Payouts]]</f>
        <v>115986622</v>
      </c>
      <c r="J412" s="7"/>
      <c r="K412" s="7">
        <v>34795987</v>
      </c>
      <c r="L412" s="8">
        <v>34795987</v>
      </c>
      <c r="M412" s="41"/>
    </row>
    <row r="413" spans="1:13" ht="14" x14ac:dyDescent="0.3">
      <c r="A413" s="18">
        <v>176</v>
      </c>
      <c r="B413" s="3" t="s">
        <v>12</v>
      </c>
      <c r="C413" s="20" t="s">
        <v>44</v>
      </c>
      <c r="D413" s="35" t="str">
        <f t="shared" si="15"/>
        <v/>
      </c>
      <c r="E413" s="5">
        <v>45688</v>
      </c>
      <c r="F413" s="6" t="s">
        <v>13</v>
      </c>
      <c r="G413" s="7">
        <v>0</v>
      </c>
      <c r="H413" s="7">
        <v>0</v>
      </c>
      <c r="I413" s="7">
        <f>OPERATORS[[#This Row],[Total Sales]]-OPERATORS[[#This Row],[Total Payouts]]</f>
        <v>0</v>
      </c>
      <c r="J413" s="7">
        <v>0</v>
      </c>
      <c r="K413" s="7">
        <v>0</v>
      </c>
      <c r="L413" s="8"/>
      <c r="M413" s="41"/>
    </row>
    <row r="414" spans="1:13" ht="14" x14ac:dyDescent="0.3">
      <c r="A414" s="18">
        <f>ROW(A413)</f>
        <v>413</v>
      </c>
      <c r="B414" s="3" t="s">
        <v>3</v>
      </c>
      <c r="C414" s="20" t="s">
        <v>44</v>
      </c>
      <c r="D414" s="35" t="str">
        <f t="shared" si="15"/>
        <v/>
      </c>
      <c r="E414" s="5">
        <v>45688</v>
      </c>
      <c r="F414" s="6" t="s">
        <v>13</v>
      </c>
      <c r="G414" s="7">
        <v>97993710</v>
      </c>
      <c r="H414" s="7">
        <v>91303131</v>
      </c>
      <c r="I414" s="7">
        <f>OPERATORS[[#This Row],[Total Sales]]-OPERATORS[[#This Row],[Total Payouts]]</f>
        <v>6690579</v>
      </c>
      <c r="J414" s="7">
        <v>0</v>
      </c>
      <c r="K414" s="7">
        <v>2060755</v>
      </c>
      <c r="L414" s="8">
        <v>2060755</v>
      </c>
      <c r="M414" s="41"/>
    </row>
    <row r="415" spans="1:13" ht="14" x14ac:dyDescent="0.3">
      <c r="A415" s="18">
        <v>177</v>
      </c>
      <c r="B415" s="3" t="s">
        <v>17</v>
      </c>
      <c r="C415" s="20" t="s">
        <v>34</v>
      </c>
      <c r="D415" s="35" t="str">
        <f t="shared" si="15"/>
        <v/>
      </c>
      <c r="E415" s="5">
        <v>45688</v>
      </c>
      <c r="F415" s="6" t="s">
        <v>13</v>
      </c>
      <c r="G415" s="7">
        <v>290076000</v>
      </c>
      <c r="H415" s="7">
        <v>264250000</v>
      </c>
      <c r="I415" s="7">
        <f>OPERATORS[[#This Row],[Total Sales]]-OPERATORS[[#This Row],[Total Payouts]]</f>
        <v>25826000</v>
      </c>
      <c r="J415" s="7">
        <v>0</v>
      </c>
      <c r="K415" s="7">
        <v>7747800</v>
      </c>
      <c r="L415" s="8">
        <v>7747800</v>
      </c>
      <c r="M415" s="41"/>
    </row>
    <row r="416" spans="1:13" ht="14" x14ac:dyDescent="0.3">
      <c r="A416" s="18">
        <f>ROW(A415)</f>
        <v>415</v>
      </c>
      <c r="B416" s="3" t="s">
        <v>3</v>
      </c>
      <c r="C416" s="20" t="s">
        <v>52</v>
      </c>
      <c r="D416" s="35" t="str">
        <f t="shared" si="15"/>
        <v/>
      </c>
      <c r="E416" s="5">
        <v>45688</v>
      </c>
      <c r="F416" s="6" t="s">
        <v>13</v>
      </c>
      <c r="G416" s="7">
        <v>65700000</v>
      </c>
      <c r="H416" s="7">
        <v>15550000</v>
      </c>
      <c r="I416" s="7">
        <f>OPERATORS[[#This Row],[Total Sales]]-OPERATORS[[#This Row],[Total Payouts]]</f>
        <v>50150000</v>
      </c>
      <c r="J416" s="7">
        <v>0</v>
      </c>
      <c r="K416" s="7">
        <v>15045000</v>
      </c>
      <c r="L416" s="8">
        <v>15045000</v>
      </c>
      <c r="M416" s="41"/>
    </row>
    <row r="417" spans="1:13" ht="14" x14ac:dyDescent="0.3">
      <c r="A417" s="18">
        <v>178</v>
      </c>
      <c r="B417" s="3" t="s">
        <v>16</v>
      </c>
      <c r="C417" s="20" t="s">
        <v>61</v>
      </c>
      <c r="D417" s="35" t="str">
        <f t="shared" si="15"/>
        <v/>
      </c>
      <c r="E417" s="5">
        <v>45688</v>
      </c>
      <c r="F417" s="6" t="s">
        <v>13</v>
      </c>
      <c r="G417" s="7">
        <v>618863000</v>
      </c>
      <c r="H417" s="7">
        <v>509672000</v>
      </c>
      <c r="I417" s="7">
        <f>OPERATORS[[#This Row],[Total Sales]]-OPERATORS[[#This Row],[Total Payouts]]</f>
        <v>109191000</v>
      </c>
      <c r="J417" s="7">
        <v>0</v>
      </c>
      <c r="K417" s="7">
        <v>32757300</v>
      </c>
      <c r="L417" s="8">
        <v>32757300</v>
      </c>
      <c r="M417" s="41"/>
    </row>
    <row r="418" spans="1:13" ht="14" x14ac:dyDescent="0.3">
      <c r="A418" s="18">
        <f>ROW(A417)</f>
        <v>417</v>
      </c>
      <c r="B418" s="3" t="s">
        <v>12</v>
      </c>
      <c r="C418" s="20" t="s">
        <v>61</v>
      </c>
      <c r="D418" s="35" t="str">
        <f t="shared" si="15"/>
        <v/>
      </c>
      <c r="E418" s="5">
        <v>45688</v>
      </c>
      <c r="F418" s="6" t="s">
        <v>13</v>
      </c>
      <c r="G418" s="7">
        <v>1043798400</v>
      </c>
      <c r="H418" s="7">
        <v>525239300</v>
      </c>
      <c r="I418" s="7">
        <f>OPERATORS[[#This Row],[Total Sales]]-OPERATORS[[#This Row],[Total Payouts]]</f>
        <v>518559100</v>
      </c>
      <c r="J418" s="7">
        <v>78785895</v>
      </c>
      <c r="K418" s="7">
        <v>103711820</v>
      </c>
      <c r="L418" s="8">
        <v>182497715</v>
      </c>
      <c r="M418" s="41"/>
    </row>
    <row r="419" spans="1:13" ht="14" x14ac:dyDescent="0.3">
      <c r="A419" s="18">
        <v>179</v>
      </c>
      <c r="B419" s="3" t="s">
        <v>3</v>
      </c>
      <c r="C419" s="20" t="s">
        <v>28</v>
      </c>
      <c r="D419" s="35" t="str">
        <f t="shared" si="15"/>
        <v/>
      </c>
      <c r="E419" s="5">
        <v>45688</v>
      </c>
      <c r="F419" s="6" t="s">
        <v>13</v>
      </c>
      <c r="G419" s="7">
        <v>4051118295</v>
      </c>
      <c r="H419" s="7">
        <v>3818099640</v>
      </c>
      <c r="I419" s="7">
        <f>OPERATORS[[#This Row],[Total Sales]]-OPERATORS[[#This Row],[Total Payouts]]</f>
        <v>233018655</v>
      </c>
      <c r="J419" s="7">
        <v>0</v>
      </c>
      <c r="K419" s="7">
        <v>85232541</v>
      </c>
      <c r="L419" s="8">
        <v>85232541</v>
      </c>
      <c r="M419" s="41"/>
    </row>
    <row r="420" spans="1:13" ht="14" x14ac:dyDescent="0.3">
      <c r="A420" s="18">
        <f>ROW(A419)</f>
        <v>419</v>
      </c>
      <c r="B420" s="3" t="s">
        <v>12</v>
      </c>
      <c r="C420" s="20" t="s">
        <v>28</v>
      </c>
      <c r="D420" s="35" t="str">
        <f t="shared" si="15"/>
        <v/>
      </c>
      <c r="E420" s="5">
        <v>45688</v>
      </c>
      <c r="F420" s="6" t="s">
        <v>13</v>
      </c>
      <c r="G420" s="7">
        <v>1077452792</v>
      </c>
      <c r="H420" s="7">
        <v>846944785</v>
      </c>
      <c r="I420" s="7">
        <f>OPERATORS[[#This Row],[Total Sales]]-OPERATORS[[#This Row],[Total Payouts]]</f>
        <v>230508007</v>
      </c>
      <c r="J420" s="7">
        <v>127041718</v>
      </c>
      <c r="K420" s="7">
        <v>46101601</v>
      </c>
      <c r="L420" s="8">
        <v>173143319</v>
      </c>
      <c r="M420" s="41"/>
    </row>
    <row r="421" spans="1:13" ht="14" x14ac:dyDescent="0.3">
      <c r="A421" s="18">
        <v>180</v>
      </c>
      <c r="B421" s="3" t="s">
        <v>12</v>
      </c>
      <c r="C421" s="20" t="s">
        <v>50</v>
      </c>
      <c r="D421" s="35" t="str">
        <f t="shared" si="15"/>
        <v/>
      </c>
      <c r="E421" s="5">
        <v>45688</v>
      </c>
      <c r="F421" s="6" t="s">
        <v>13</v>
      </c>
      <c r="G421" s="7">
        <v>176974449</v>
      </c>
      <c r="H421" s="7">
        <v>155169848</v>
      </c>
      <c r="I421" s="7">
        <f>OPERATORS[[#This Row],[Total Sales]]-OPERATORS[[#This Row],[Total Payouts]]</f>
        <v>21804601</v>
      </c>
      <c r="J421" s="7">
        <v>23275477</v>
      </c>
      <c r="K421" s="7">
        <v>5033626</v>
      </c>
      <c r="L421" s="8">
        <v>28309103</v>
      </c>
      <c r="M421" s="41"/>
    </row>
    <row r="422" spans="1:13" ht="14" x14ac:dyDescent="0.3">
      <c r="A422" s="18">
        <f>ROW(A421)</f>
        <v>421</v>
      </c>
      <c r="B422" s="3" t="s">
        <v>3</v>
      </c>
      <c r="C422" s="20" t="s">
        <v>70</v>
      </c>
      <c r="D422" s="35" t="str">
        <f t="shared" si="15"/>
        <v/>
      </c>
      <c r="E422" s="5">
        <v>45688</v>
      </c>
      <c r="F422" s="6" t="s">
        <v>13</v>
      </c>
      <c r="G422" s="7">
        <v>3637082817</v>
      </c>
      <c r="H422" s="7">
        <v>3476570892</v>
      </c>
      <c r="I422" s="7">
        <f>OPERATORS[[#This Row],[Total Sales]]-OPERATORS[[#This Row],[Total Payouts]]</f>
        <v>160511925</v>
      </c>
      <c r="J422" s="7">
        <v>0</v>
      </c>
      <c r="K422" s="7">
        <v>51936594</v>
      </c>
      <c r="L422" s="8">
        <v>51936594</v>
      </c>
      <c r="M422" s="41"/>
    </row>
    <row r="423" spans="1:13" ht="14" x14ac:dyDescent="0.3">
      <c r="A423" s="18">
        <v>181</v>
      </c>
      <c r="B423" s="3" t="s">
        <v>12</v>
      </c>
      <c r="C423" s="20" t="s">
        <v>70</v>
      </c>
      <c r="D423" s="35" t="str">
        <f t="shared" si="15"/>
        <v/>
      </c>
      <c r="E423" s="5">
        <v>45688</v>
      </c>
      <c r="F423" s="6" t="s">
        <v>13</v>
      </c>
      <c r="G423" s="7">
        <v>6698722849</v>
      </c>
      <c r="H423" s="7">
        <v>5620230764</v>
      </c>
      <c r="I423" s="7">
        <f>OPERATORS[[#This Row],[Total Sales]]-OPERATORS[[#This Row],[Total Payouts]]</f>
        <v>1078492085</v>
      </c>
      <c r="J423" s="7">
        <v>843034615</v>
      </c>
      <c r="K423" s="7">
        <v>238379621</v>
      </c>
      <c r="L423" s="8">
        <v>1081414236</v>
      </c>
      <c r="M423" s="41"/>
    </row>
    <row r="424" spans="1:13" ht="14" x14ac:dyDescent="0.3">
      <c r="A424" s="18">
        <f>ROW(A423)</f>
        <v>423</v>
      </c>
      <c r="B424" s="3" t="s">
        <v>12</v>
      </c>
      <c r="C424" s="20" t="s">
        <v>30</v>
      </c>
      <c r="D424" s="35" t="str">
        <f t="shared" si="15"/>
        <v/>
      </c>
      <c r="E424" s="5">
        <v>45688</v>
      </c>
      <c r="F424" s="6" t="s">
        <v>13</v>
      </c>
      <c r="G424" s="7">
        <v>204943158</v>
      </c>
      <c r="H424" s="7">
        <v>169798444</v>
      </c>
      <c r="I424" s="7">
        <f>OPERATORS[[#This Row],[Total Sales]]-OPERATORS[[#This Row],[Total Payouts]]</f>
        <v>35144714</v>
      </c>
      <c r="J424" s="7">
        <v>25469767</v>
      </c>
      <c r="K424" s="7">
        <v>10425325</v>
      </c>
      <c r="L424" s="8">
        <v>35895092</v>
      </c>
      <c r="M424" s="41"/>
    </row>
    <row r="425" spans="1:13" ht="14" x14ac:dyDescent="0.3">
      <c r="A425" s="18">
        <v>182</v>
      </c>
      <c r="B425" s="3" t="s">
        <v>3</v>
      </c>
      <c r="C425" s="20" t="s">
        <v>56</v>
      </c>
      <c r="D425" s="35">
        <v>1000035508</v>
      </c>
      <c r="E425" s="5">
        <v>45688</v>
      </c>
      <c r="F425" s="6" t="s">
        <v>13</v>
      </c>
      <c r="G425" s="7">
        <v>267778095</v>
      </c>
      <c r="H425" s="7">
        <v>0</v>
      </c>
      <c r="I425" s="7">
        <f>OPERATORS[[#This Row],[Total Sales]]-OPERATORS[[#This Row],[Total Payouts]]</f>
        <v>267778095</v>
      </c>
      <c r="J425" s="7">
        <v>0</v>
      </c>
      <c r="K425" s="7">
        <v>94403736</v>
      </c>
      <c r="L425" s="8">
        <v>94403736</v>
      </c>
      <c r="M425" s="41"/>
    </row>
    <row r="426" spans="1:13" ht="14" x14ac:dyDescent="0.3">
      <c r="A426" s="18">
        <f>ROW(A425)</f>
        <v>425</v>
      </c>
      <c r="B426" s="3" t="s">
        <v>12</v>
      </c>
      <c r="C426" s="20" t="s">
        <v>37</v>
      </c>
      <c r="D426" s="35" t="str">
        <f t="shared" ref="D426:D463" si="17">IFERROR(VLOOKUP(C426,OPerators_Range,2,FALSE),"")</f>
        <v/>
      </c>
      <c r="E426" s="5">
        <v>45688</v>
      </c>
      <c r="F426" s="6" t="s">
        <v>13</v>
      </c>
      <c r="G426" s="7">
        <v>1179849084</v>
      </c>
      <c r="H426" s="7">
        <v>1022086975</v>
      </c>
      <c r="I426" s="7">
        <f>OPERATORS[[#This Row],[Total Sales]]-OPERATORS[[#This Row],[Total Payouts]]</f>
        <v>157762109</v>
      </c>
      <c r="J426" s="7">
        <v>153313046</v>
      </c>
      <c r="K426" s="7">
        <v>41599505</v>
      </c>
      <c r="L426" s="8">
        <v>194912551</v>
      </c>
      <c r="M426" s="41"/>
    </row>
    <row r="427" spans="1:13" ht="14" x14ac:dyDescent="0.3">
      <c r="A427" s="18">
        <v>183</v>
      </c>
      <c r="B427" s="3" t="s">
        <v>12</v>
      </c>
      <c r="C427" s="20" t="s">
        <v>50</v>
      </c>
      <c r="D427" s="35" t="str">
        <f t="shared" si="17"/>
        <v/>
      </c>
      <c r="E427" s="5">
        <v>45688</v>
      </c>
      <c r="F427" s="6" t="s">
        <v>13</v>
      </c>
      <c r="G427" s="7">
        <v>561396302</v>
      </c>
      <c r="H427" s="7">
        <v>549697609</v>
      </c>
      <c r="I427" s="7">
        <f>OPERATORS[[#This Row],[Total Sales]]-OPERATORS[[#This Row],[Total Payouts]]</f>
        <v>11698693</v>
      </c>
      <c r="J427" s="7"/>
      <c r="K427" s="7">
        <v>8773928</v>
      </c>
      <c r="L427" s="8">
        <v>8773928</v>
      </c>
      <c r="M427" s="41"/>
    </row>
    <row r="428" spans="1:13" ht="14" x14ac:dyDescent="0.3">
      <c r="A428" s="18">
        <f>ROW(A427)</f>
        <v>427</v>
      </c>
      <c r="B428" s="3" t="s">
        <v>17</v>
      </c>
      <c r="C428" s="20" t="s">
        <v>62</v>
      </c>
      <c r="D428" s="35" t="str">
        <f t="shared" si="17"/>
        <v/>
      </c>
      <c r="E428" s="5">
        <v>45688</v>
      </c>
      <c r="F428" s="6" t="s">
        <v>13</v>
      </c>
      <c r="G428" s="7">
        <v>587400000</v>
      </c>
      <c r="H428" s="7">
        <v>345753061</v>
      </c>
      <c r="I428" s="7">
        <f>OPERATORS[[#This Row],[Total Sales]]-OPERATORS[[#This Row],[Total Payouts]]</f>
        <v>241646939</v>
      </c>
      <c r="J428" s="7"/>
      <c r="K428" s="7">
        <v>72494082</v>
      </c>
      <c r="L428" s="8">
        <v>72494082</v>
      </c>
      <c r="M428" s="41"/>
    </row>
    <row r="429" spans="1:13" ht="14" x14ac:dyDescent="0.3">
      <c r="A429" s="18">
        <v>184</v>
      </c>
      <c r="B429" s="3" t="s">
        <v>12</v>
      </c>
      <c r="C429" s="20" t="s">
        <v>45</v>
      </c>
      <c r="D429" s="35" t="str">
        <f t="shared" si="17"/>
        <v/>
      </c>
      <c r="E429" s="5">
        <v>45688</v>
      </c>
      <c r="F429" s="6" t="s">
        <v>13</v>
      </c>
      <c r="G429" s="7">
        <v>3815424148</v>
      </c>
      <c r="H429" s="7">
        <v>2538337836</v>
      </c>
      <c r="I429" s="7">
        <f>OPERATORS[[#This Row],[Total Sales]]-OPERATORS[[#This Row],[Total Payouts]]</f>
        <v>1277086312</v>
      </c>
      <c r="J429" s="7">
        <v>380750675</v>
      </c>
      <c r="K429" s="7">
        <v>255417262</v>
      </c>
      <c r="L429" s="8">
        <v>636167938</v>
      </c>
      <c r="M429" s="41"/>
    </row>
    <row r="430" spans="1:13" ht="14" x14ac:dyDescent="0.3">
      <c r="A430" s="18">
        <f>ROW(A429)</f>
        <v>429</v>
      </c>
      <c r="B430" s="3" t="s">
        <v>16</v>
      </c>
      <c r="C430" s="20" t="s">
        <v>45</v>
      </c>
      <c r="D430" s="35" t="str">
        <f t="shared" si="17"/>
        <v/>
      </c>
      <c r="E430" s="5">
        <v>45688</v>
      </c>
      <c r="F430" s="6" t="s">
        <v>13</v>
      </c>
      <c r="G430" s="7">
        <v>5832716600</v>
      </c>
      <c r="H430" s="7">
        <v>4848092376</v>
      </c>
      <c r="I430" s="7">
        <f>OPERATORS[[#This Row],[Total Sales]]-OPERATORS[[#This Row],[Total Payouts]]</f>
        <v>984624224</v>
      </c>
      <c r="J430" s="7"/>
      <c r="K430" s="7">
        <v>295387267</v>
      </c>
      <c r="L430" s="8">
        <v>295387267</v>
      </c>
      <c r="M430" s="41"/>
    </row>
    <row r="431" spans="1:13" ht="14" x14ac:dyDescent="0.3">
      <c r="A431" s="18">
        <v>185</v>
      </c>
      <c r="B431" s="3" t="s">
        <v>3</v>
      </c>
      <c r="C431" s="20" t="s">
        <v>48</v>
      </c>
      <c r="D431" s="35" t="str">
        <f t="shared" si="17"/>
        <v/>
      </c>
      <c r="E431" s="5">
        <v>45688</v>
      </c>
      <c r="F431" s="6" t="s">
        <v>13</v>
      </c>
      <c r="G431" s="7">
        <v>1079641500</v>
      </c>
      <c r="H431" s="7">
        <v>60495500</v>
      </c>
      <c r="I431" s="7">
        <f>OPERATORS[[#This Row],[Total Sales]]-OPERATORS[[#This Row],[Total Payouts]]</f>
        <v>1019146000</v>
      </c>
      <c r="J431" s="7"/>
      <c r="K431" s="7">
        <v>323892450</v>
      </c>
      <c r="L431" s="8">
        <v>323892450</v>
      </c>
      <c r="M431" s="41"/>
    </row>
    <row r="432" spans="1:13" ht="14" x14ac:dyDescent="0.3">
      <c r="A432" s="18">
        <f>ROW(A431)</f>
        <v>431</v>
      </c>
      <c r="B432" s="3" t="s">
        <v>12</v>
      </c>
      <c r="C432" s="20" t="s">
        <v>55</v>
      </c>
      <c r="D432" s="35" t="str">
        <f t="shared" si="17"/>
        <v/>
      </c>
      <c r="E432" s="5">
        <v>45688</v>
      </c>
      <c r="F432" s="6" t="s">
        <v>13</v>
      </c>
      <c r="G432" s="7">
        <v>171093350</v>
      </c>
      <c r="H432" s="7">
        <v>117599805</v>
      </c>
      <c r="I432" s="7">
        <f>OPERATORS[[#This Row],[Total Sales]]-OPERATORS[[#This Row],[Total Payouts]]</f>
        <v>53493545</v>
      </c>
      <c r="J432" s="7">
        <v>17639971</v>
      </c>
      <c r="K432" s="7">
        <v>10698709</v>
      </c>
      <c r="L432" s="8">
        <v>28338680</v>
      </c>
      <c r="M432" s="41"/>
    </row>
    <row r="433" spans="1:13" ht="14" x14ac:dyDescent="0.3">
      <c r="A433" s="18">
        <v>186</v>
      </c>
      <c r="B433" s="3" t="s">
        <v>3</v>
      </c>
      <c r="C433" s="20" t="s">
        <v>76</v>
      </c>
      <c r="D433" s="35" t="str">
        <f t="shared" si="17"/>
        <v/>
      </c>
      <c r="E433" s="5">
        <v>45688</v>
      </c>
      <c r="F433" s="6" t="s">
        <v>13</v>
      </c>
      <c r="G433" s="7">
        <v>3460000</v>
      </c>
      <c r="H433" s="7">
        <v>0</v>
      </c>
      <c r="I433" s="7">
        <f>OPERATORS[[#This Row],[Total Sales]]-OPERATORS[[#This Row],[Total Payouts]]</f>
        <v>3460000</v>
      </c>
      <c r="J433" s="7">
        <v>0</v>
      </c>
      <c r="K433" s="7">
        <v>1038000</v>
      </c>
      <c r="L433" s="8">
        <v>1038000</v>
      </c>
      <c r="M433" s="41"/>
    </row>
    <row r="434" spans="1:13" ht="14" x14ac:dyDescent="0.3">
      <c r="A434" s="18">
        <v>187</v>
      </c>
      <c r="B434" s="3" t="s">
        <v>16</v>
      </c>
      <c r="C434" s="20" t="s">
        <v>38</v>
      </c>
      <c r="D434" s="35" t="str">
        <f t="shared" si="17"/>
        <v/>
      </c>
      <c r="E434" s="5">
        <v>45688</v>
      </c>
      <c r="F434" s="6" t="s">
        <v>13</v>
      </c>
      <c r="G434" s="7">
        <v>135019100</v>
      </c>
      <c r="H434" s="7">
        <v>102541100</v>
      </c>
      <c r="I434" s="7">
        <f>OPERATORS[[#This Row],[Total Sales]]-OPERATORS[[#This Row],[Total Payouts]]</f>
        <v>32478000</v>
      </c>
      <c r="J434" s="7">
        <v>0</v>
      </c>
      <c r="K434" s="7">
        <v>9743400</v>
      </c>
      <c r="L434" s="8">
        <v>9743400</v>
      </c>
      <c r="M434" s="41"/>
    </row>
    <row r="435" spans="1:13" ht="14" x14ac:dyDescent="0.3">
      <c r="A435" s="18">
        <f>ROW(A434)</f>
        <v>434</v>
      </c>
      <c r="B435" s="3" t="s">
        <v>3</v>
      </c>
      <c r="C435" s="20" t="s">
        <v>61</v>
      </c>
      <c r="D435" s="35" t="str">
        <f t="shared" si="17"/>
        <v/>
      </c>
      <c r="E435" s="5">
        <v>45688</v>
      </c>
      <c r="F435" s="6" t="s">
        <v>13</v>
      </c>
      <c r="G435" s="7">
        <v>2739562430</v>
      </c>
      <c r="H435" s="7">
        <v>2503739190</v>
      </c>
      <c r="I435" s="7">
        <f>OPERATORS[[#This Row],[Total Sales]]-OPERATORS[[#This Row],[Total Payouts]]</f>
        <v>235823240</v>
      </c>
      <c r="J435" s="7">
        <v>0</v>
      </c>
      <c r="K435" s="7">
        <v>70973163</v>
      </c>
      <c r="L435" s="8">
        <v>70973163</v>
      </c>
      <c r="M435" s="41"/>
    </row>
    <row r="436" spans="1:13" ht="14" x14ac:dyDescent="0.3">
      <c r="A436" s="18">
        <v>188</v>
      </c>
      <c r="B436" s="3" t="s">
        <v>16</v>
      </c>
      <c r="C436" s="20" t="s">
        <v>77</v>
      </c>
      <c r="D436" s="35" t="str">
        <f t="shared" si="17"/>
        <v/>
      </c>
      <c r="E436" s="5">
        <v>45688</v>
      </c>
      <c r="F436" s="6" t="s">
        <v>13</v>
      </c>
      <c r="G436" s="7">
        <v>772147200</v>
      </c>
      <c r="H436" s="7">
        <v>650798090</v>
      </c>
      <c r="I436" s="7">
        <f>OPERATORS[[#This Row],[Total Sales]]-OPERATORS[[#This Row],[Total Payouts]]</f>
        <v>121349110</v>
      </c>
      <c r="J436" s="7">
        <v>0</v>
      </c>
      <c r="K436" s="7">
        <v>36653706</v>
      </c>
      <c r="L436" s="8">
        <v>36653706</v>
      </c>
      <c r="M436" s="41"/>
    </row>
    <row r="437" spans="1:13" ht="14" x14ac:dyDescent="0.3">
      <c r="A437" s="18">
        <v>191</v>
      </c>
      <c r="B437" s="3" t="s">
        <v>12</v>
      </c>
      <c r="C437" s="20" t="s">
        <v>27</v>
      </c>
      <c r="D437" s="35" t="str">
        <f t="shared" si="17"/>
        <v/>
      </c>
      <c r="E437" s="5">
        <v>45688</v>
      </c>
      <c r="F437" s="6" t="s">
        <v>13</v>
      </c>
      <c r="G437" s="7" t="s">
        <v>19</v>
      </c>
      <c r="H437" s="7" t="s">
        <v>19</v>
      </c>
      <c r="I437" s="7">
        <v>0</v>
      </c>
      <c r="J437" s="7" t="s">
        <v>19</v>
      </c>
      <c r="K437" s="7" t="s">
        <v>19</v>
      </c>
      <c r="L437" s="8" t="s">
        <v>19</v>
      </c>
      <c r="M437" s="41"/>
    </row>
    <row r="438" spans="1:13" ht="14" x14ac:dyDescent="0.3">
      <c r="A438" s="18">
        <f>ROW(A437)</f>
        <v>437</v>
      </c>
      <c r="B438" s="3" t="s">
        <v>16</v>
      </c>
      <c r="C438" s="20" t="s">
        <v>27</v>
      </c>
      <c r="D438" s="35" t="str">
        <f t="shared" si="17"/>
        <v/>
      </c>
      <c r="E438" s="5">
        <v>45688</v>
      </c>
      <c r="F438" s="6" t="s">
        <v>13</v>
      </c>
      <c r="G438" s="7">
        <v>132812492</v>
      </c>
      <c r="H438" s="7">
        <v>117609498</v>
      </c>
      <c r="I438" s="7">
        <f>OPERATORS[[#This Row],[Total Sales]]-OPERATORS[[#This Row],[Total Payouts]]</f>
        <v>15202994</v>
      </c>
      <c r="J438" s="7" t="s">
        <v>19</v>
      </c>
      <c r="K438" s="7">
        <v>4560898</v>
      </c>
      <c r="L438" s="8">
        <v>4560898</v>
      </c>
      <c r="M438" s="41"/>
    </row>
    <row r="439" spans="1:13" ht="14" x14ac:dyDescent="0.3">
      <c r="A439" s="18">
        <v>192</v>
      </c>
      <c r="B439" s="3" t="s">
        <v>12</v>
      </c>
      <c r="C439" s="20" t="s">
        <v>46</v>
      </c>
      <c r="D439" s="35" t="str">
        <f t="shared" si="17"/>
        <v/>
      </c>
      <c r="E439" s="5">
        <v>45688</v>
      </c>
      <c r="F439" s="6" t="s">
        <v>13</v>
      </c>
      <c r="G439" s="7">
        <v>266853514</v>
      </c>
      <c r="H439" s="7">
        <v>147887236</v>
      </c>
      <c r="I439" s="7">
        <f>OPERATORS[[#This Row],[Total Sales]]-OPERATORS[[#This Row],[Total Payouts]]</f>
        <v>118966278</v>
      </c>
      <c r="J439" s="7">
        <v>22183085</v>
      </c>
      <c r="K439" s="7">
        <v>23793256</v>
      </c>
      <c r="L439" s="8">
        <v>45976341</v>
      </c>
      <c r="M439" s="41"/>
    </row>
    <row r="440" spans="1:13" ht="14" x14ac:dyDescent="0.3">
      <c r="A440" s="18">
        <f>ROW(A439)</f>
        <v>439</v>
      </c>
      <c r="B440" s="3" t="s">
        <v>16</v>
      </c>
      <c r="C440" s="20" t="s">
        <v>46</v>
      </c>
      <c r="D440" s="35" t="str">
        <f t="shared" si="17"/>
        <v/>
      </c>
      <c r="E440" s="5">
        <v>45688</v>
      </c>
      <c r="F440" s="6" t="s">
        <v>13</v>
      </c>
      <c r="G440" s="7">
        <v>2056088963</v>
      </c>
      <c r="H440" s="7">
        <v>1845868074</v>
      </c>
      <c r="I440" s="7">
        <f>OPERATORS[[#This Row],[Total Sales]]-OPERATORS[[#This Row],[Total Payouts]]</f>
        <v>210220889</v>
      </c>
      <c r="J440" s="7" t="s">
        <v>19</v>
      </c>
      <c r="K440" s="7">
        <v>63066267</v>
      </c>
      <c r="L440" s="8">
        <v>63066267</v>
      </c>
      <c r="M440" s="41"/>
    </row>
    <row r="441" spans="1:13" ht="14" x14ac:dyDescent="0.3">
      <c r="A441" s="18">
        <v>193</v>
      </c>
      <c r="B441" s="3" t="s">
        <v>12</v>
      </c>
      <c r="C441" s="20" t="s">
        <v>41</v>
      </c>
      <c r="D441" s="35" t="str">
        <f t="shared" si="17"/>
        <v/>
      </c>
      <c r="E441" s="5">
        <v>45688</v>
      </c>
      <c r="F441" s="6" t="s">
        <v>13</v>
      </c>
      <c r="G441" s="7">
        <v>279902663825</v>
      </c>
      <c r="H441" s="7">
        <v>256437047409</v>
      </c>
      <c r="I441" s="7">
        <f>OPERATORS[[#This Row],[Total Sales]]-OPERATORS[[#This Row],[Total Payouts]]</f>
        <v>23465616416</v>
      </c>
      <c r="J441" s="7">
        <v>38465557111</v>
      </c>
      <c r="K441" s="7">
        <v>4799179059</v>
      </c>
      <c r="L441" s="8">
        <v>43264736170</v>
      </c>
      <c r="M441" s="41"/>
    </row>
    <row r="442" spans="1:13" ht="14" x14ac:dyDescent="0.3">
      <c r="A442" s="18">
        <f>ROW(A441)</f>
        <v>441</v>
      </c>
      <c r="B442" s="3" t="s">
        <v>3</v>
      </c>
      <c r="C442" s="20" t="s">
        <v>41</v>
      </c>
      <c r="D442" s="35" t="str">
        <f t="shared" si="17"/>
        <v/>
      </c>
      <c r="E442" s="5">
        <v>45688</v>
      </c>
      <c r="F442" s="6" t="s">
        <v>13</v>
      </c>
      <c r="G442" s="7">
        <v>300147764477</v>
      </c>
      <c r="H442" s="7">
        <v>293096243307</v>
      </c>
      <c r="I442" s="7">
        <f>OPERATORS[[#This Row],[Total Sales]]-OPERATORS[[#This Row],[Total Payouts]]</f>
        <v>7051521170</v>
      </c>
      <c r="J442" s="7">
        <v>0</v>
      </c>
      <c r="K442" s="7">
        <v>2115456351</v>
      </c>
      <c r="L442" s="8">
        <v>2115456351</v>
      </c>
      <c r="M442" s="41"/>
    </row>
    <row r="443" spans="1:13" ht="14" x14ac:dyDescent="0.3">
      <c r="A443" s="18">
        <v>194</v>
      </c>
      <c r="B443" s="3" t="s">
        <v>16</v>
      </c>
      <c r="C443" s="20" t="s">
        <v>36</v>
      </c>
      <c r="D443" s="35" t="str">
        <f t="shared" si="17"/>
        <v/>
      </c>
      <c r="E443" s="5">
        <v>45688</v>
      </c>
      <c r="F443" s="6" t="s">
        <v>13</v>
      </c>
      <c r="G443" s="7">
        <v>253053560</v>
      </c>
      <c r="H443" s="7">
        <v>211891780</v>
      </c>
      <c r="I443" s="7">
        <f>OPERATORS[[#This Row],[Total Sales]]-OPERATORS[[#This Row],[Total Payouts]]</f>
        <v>41161780</v>
      </c>
      <c r="J443" s="7">
        <v>0</v>
      </c>
      <c r="K443" s="7">
        <v>12348534</v>
      </c>
      <c r="L443" s="8">
        <v>12348534</v>
      </c>
      <c r="M443" s="41"/>
    </row>
    <row r="444" spans="1:13" ht="14" x14ac:dyDescent="0.3">
      <c r="A444" s="18">
        <f>ROW(A443)</f>
        <v>443</v>
      </c>
      <c r="B444" s="3" t="s">
        <v>12</v>
      </c>
      <c r="C444" s="20" t="s">
        <v>36</v>
      </c>
      <c r="D444" s="35" t="str">
        <f t="shared" si="17"/>
        <v/>
      </c>
      <c r="E444" s="5">
        <v>45688</v>
      </c>
      <c r="F444" s="6" t="s">
        <v>13</v>
      </c>
      <c r="G444" s="7">
        <v>24057478</v>
      </c>
      <c r="H444" s="7">
        <v>18432050</v>
      </c>
      <c r="I444" s="7">
        <f>OPERATORS[[#This Row],[Total Sales]]-OPERATORS[[#This Row],[Total Payouts]]</f>
        <v>5625428</v>
      </c>
      <c r="J444" s="7">
        <v>2764808</v>
      </c>
      <c r="K444" s="7">
        <v>1518716</v>
      </c>
      <c r="L444" s="8">
        <v>4283524</v>
      </c>
      <c r="M444" s="41"/>
    </row>
    <row r="445" spans="1:13" ht="14" x14ac:dyDescent="0.3">
      <c r="A445" s="18">
        <v>195</v>
      </c>
      <c r="B445" s="3" t="s">
        <v>3</v>
      </c>
      <c r="C445" s="20" t="s">
        <v>33</v>
      </c>
      <c r="D445" s="35" t="str">
        <f t="shared" si="17"/>
        <v/>
      </c>
      <c r="E445" s="5">
        <v>45688</v>
      </c>
      <c r="F445" s="6" t="s">
        <v>13</v>
      </c>
      <c r="G445" s="7">
        <v>645879000</v>
      </c>
      <c r="H445" s="7">
        <v>622123000</v>
      </c>
      <c r="I445" s="7">
        <f>OPERATORS[[#This Row],[Total Sales]]-OPERATORS[[#This Row],[Total Payouts]]</f>
        <v>23756000</v>
      </c>
      <c r="J445" s="7">
        <v>0</v>
      </c>
      <c r="K445" s="7">
        <v>11825100</v>
      </c>
      <c r="L445" s="8">
        <v>11825100</v>
      </c>
      <c r="M445" s="41"/>
    </row>
    <row r="446" spans="1:13" ht="14" x14ac:dyDescent="0.3">
      <c r="A446" s="18">
        <v>196</v>
      </c>
      <c r="B446" s="3" t="s">
        <v>3</v>
      </c>
      <c r="C446" s="20" t="s">
        <v>66</v>
      </c>
      <c r="D446" s="35" t="str">
        <f t="shared" si="17"/>
        <v/>
      </c>
      <c r="E446" s="5">
        <v>45688</v>
      </c>
      <c r="F446" s="6" t="s">
        <v>13</v>
      </c>
      <c r="G446" s="7">
        <v>22743762</v>
      </c>
      <c r="H446" s="7">
        <v>20915146</v>
      </c>
      <c r="I446" s="7">
        <f>OPERATORS[[#This Row],[Total Sales]]-OPERATORS[[#This Row],[Total Payouts]]</f>
        <v>1828616</v>
      </c>
      <c r="J446" s="7">
        <v>0</v>
      </c>
      <c r="K446" s="7">
        <v>747563</v>
      </c>
      <c r="L446" s="8">
        <v>747563</v>
      </c>
      <c r="M446" s="41"/>
    </row>
    <row r="447" spans="1:13" ht="14" x14ac:dyDescent="0.3">
      <c r="A447" s="18">
        <v>214</v>
      </c>
      <c r="B447" s="3" t="s">
        <v>12</v>
      </c>
      <c r="C447" s="20" t="s">
        <v>29</v>
      </c>
      <c r="D447" s="35" t="str">
        <f t="shared" si="17"/>
        <v/>
      </c>
      <c r="E447" s="5">
        <v>45688</v>
      </c>
      <c r="F447" s="6" t="s">
        <v>13</v>
      </c>
      <c r="G447" s="7">
        <v>826648040</v>
      </c>
      <c r="H447" s="7">
        <v>644360016</v>
      </c>
      <c r="I447" s="7">
        <f>OPERATORS[[#This Row],[Total Sales]]-OPERATORS[[#This Row],[Total Payouts]]</f>
        <v>182288024</v>
      </c>
      <c r="J447" s="7">
        <v>96654002</v>
      </c>
      <c r="K447" s="7">
        <v>39141607</v>
      </c>
      <c r="L447" s="8">
        <v>135795610</v>
      </c>
      <c r="M447" s="41"/>
    </row>
    <row r="448" spans="1:13" ht="14" x14ac:dyDescent="0.3">
      <c r="A448" s="18">
        <v>237</v>
      </c>
      <c r="B448" s="3" t="s">
        <v>12</v>
      </c>
      <c r="C448" s="20" t="s">
        <v>72</v>
      </c>
      <c r="D448" s="35" t="str">
        <f t="shared" si="17"/>
        <v/>
      </c>
      <c r="E448" s="5">
        <v>45688</v>
      </c>
      <c r="F448" s="6" t="s">
        <v>13</v>
      </c>
      <c r="G448" s="7">
        <v>44774828</v>
      </c>
      <c r="H448" s="7">
        <v>32802898</v>
      </c>
      <c r="I448" s="7">
        <f>OPERATORS[[#This Row],[Total Sales]]-OPERATORS[[#This Row],[Total Payouts]]</f>
        <v>11971930</v>
      </c>
      <c r="J448" s="7">
        <v>4920435</v>
      </c>
      <c r="K448" s="7">
        <v>1696927</v>
      </c>
      <c r="L448" s="8">
        <f>OPERATORS[[#This Row],[Withholding Tax]]+OPERATORS[[#This Row],[Gaming Tax]]</f>
        <v>6617362</v>
      </c>
      <c r="M448" s="41"/>
    </row>
    <row r="449" spans="1:13" ht="14" x14ac:dyDescent="0.3">
      <c r="A449" s="18">
        <f>ROW(A448)</f>
        <v>448</v>
      </c>
      <c r="B449" s="3" t="s">
        <v>16</v>
      </c>
      <c r="C449" s="20" t="s">
        <v>72</v>
      </c>
      <c r="D449" s="35" t="str">
        <f t="shared" si="17"/>
        <v/>
      </c>
      <c r="E449" s="5">
        <v>45688</v>
      </c>
      <c r="F449" s="6" t="s">
        <v>13</v>
      </c>
      <c r="G449" s="7">
        <v>76781708</v>
      </c>
      <c r="H449" s="7">
        <v>72772511</v>
      </c>
      <c r="I449" s="7">
        <f>OPERATORS[[#This Row],[Total Sales]]-OPERATORS[[#This Row],[Total Payouts]]</f>
        <v>4009197</v>
      </c>
      <c r="J449" s="7">
        <v>0</v>
      </c>
      <c r="K449" s="7">
        <v>1345484</v>
      </c>
      <c r="L449" s="8">
        <f>OPERATORS[[#This Row],[Withholding Tax]]+OPERATORS[[#This Row],[Gaming Tax]]</f>
        <v>1345484</v>
      </c>
      <c r="M449" s="41"/>
    </row>
    <row r="450" spans="1:13" ht="14" x14ac:dyDescent="0.3">
      <c r="A450" s="18">
        <f>ROW(A449)</f>
        <v>449</v>
      </c>
      <c r="B450" s="3" t="s">
        <v>3</v>
      </c>
      <c r="C450" s="20" t="s">
        <v>42</v>
      </c>
      <c r="D450" s="35" t="str">
        <f t="shared" si="17"/>
        <v/>
      </c>
      <c r="E450" s="5">
        <v>45688</v>
      </c>
      <c r="F450" s="6" t="s">
        <v>13</v>
      </c>
      <c r="G450" s="7">
        <v>164790248</v>
      </c>
      <c r="H450" s="7">
        <v>125363499</v>
      </c>
      <c r="I450" s="7">
        <f>OPERATORS[[#This Row],[Total Sales]]-OPERATORS[[#This Row],[Total Payouts]]</f>
        <v>39426749</v>
      </c>
      <c r="J450" s="7">
        <v>0</v>
      </c>
      <c r="K450" s="7">
        <v>11828025</v>
      </c>
      <c r="L450" s="8">
        <f>OPERATORS[[#This Row],[Withholding Tax]]+OPERATORS[[#This Row],[Gaming Tax]]</f>
        <v>11828025</v>
      </c>
      <c r="M450" s="41"/>
    </row>
    <row r="451" spans="1:13" ht="14" x14ac:dyDescent="0.3">
      <c r="A451" s="18">
        <v>261</v>
      </c>
      <c r="B451" s="3" t="s">
        <v>12</v>
      </c>
      <c r="C451" s="20" t="s">
        <v>42</v>
      </c>
      <c r="D451" s="35" t="str">
        <f t="shared" si="17"/>
        <v/>
      </c>
      <c r="E451" s="5">
        <v>45688</v>
      </c>
      <c r="F451" s="6" t="s">
        <v>13</v>
      </c>
      <c r="G451" s="7">
        <v>37804134</v>
      </c>
      <c r="H451" s="7">
        <v>26049934</v>
      </c>
      <c r="I451" s="7">
        <f>OPERATORS[[#This Row],[Total Sales]]-OPERATORS[[#This Row],[Total Payouts]]</f>
        <v>11754200</v>
      </c>
      <c r="J451" s="7">
        <v>3907490</v>
      </c>
      <c r="K451" s="7">
        <v>2373423</v>
      </c>
      <c r="L451" s="8">
        <f>OPERATORS[[#This Row],[Withholding Tax]]+OPERATORS[[#This Row],[Gaming Tax]]</f>
        <v>6280913</v>
      </c>
      <c r="M451" s="41"/>
    </row>
    <row r="452" spans="1:13" ht="14" x14ac:dyDescent="0.3">
      <c r="A452" s="18">
        <v>266</v>
      </c>
      <c r="B452" s="3" t="s">
        <v>12</v>
      </c>
      <c r="C452" s="20" t="s">
        <v>78</v>
      </c>
      <c r="D452" s="35" t="str">
        <f t="shared" si="17"/>
        <v/>
      </c>
      <c r="E452" s="5">
        <v>45688</v>
      </c>
      <c r="F452" s="6" t="s">
        <v>13</v>
      </c>
      <c r="G452" s="7">
        <v>204303486</v>
      </c>
      <c r="H452" s="7">
        <v>178187352</v>
      </c>
      <c r="I452" s="7">
        <f>OPERATORS[[#This Row],[Total Sales]]-OPERATORS[[#This Row],[Total Payouts]]</f>
        <v>26116134</v>
      </c>
      <c r="J452" s="7">
        <v>26728103</v>
      </c>
      <c r="K452" s="7">
        <v>5833944</v>
      </c>
      <c r="L452" s="8">
        <v>32562047</v>
      </c>
      <c r="M452" s="41"/>
    </row>
    <row r="453" spans="1:13" ht="14" x14ac:dyDescent="0.3">
      <c r="A453" s="18">
        <f>ROW(A452)</f>
        <v>452</v>
      </c>
      <c r="B453" s="3" t="s">
        <v>3</v>
      </c>
      <c r="C453" s="20" t="s">
        <v>54</v>
      </c>
      <c r="D453" s="35" t="str">
        <f t="shared" si="17"/>
        <v/>
      </c>
      <c r="E453" s="5">
        <v>45688</v>
      </c>
      <c r="F453" s="6" t="s">
        <v>13</v>
      </c>
      <c r="G453" s="7">
        <v>153030000</v>
      </c>
      <c r="H453" s="7">
        <v>88401000</v>
      </c>
      <c r="I453" s="7">
        <v>64629000</v>
      </c>
      <c r="J453" s="7"/>
      <c r="K453" s="7">
        <v>19388700</v>
      </c>
      <c r="L453" s="8">
        <f>OPERATORS[[#This Row],[Withholding Tax]]+OPERATORS[[#This Row],[Gaming Tax]]</f>
        <v>19388700</v>
      </c>
      <c r="M453" s="41"/>
    </row>
    <row r="454" spans="1:13" ht="14" x14ac:dyDescent="0.3">
      <c r="A454" s="18">
        <v>272</v>
      </c>
      <c r="B454" s="3" t="s">
        <v>16</v>
      </c>
      <c r="C454" s="20" t="s">
        <v>39</v>
      </c>
      <c r="D454" s="35" t="str">
        <f t="shared" si="17"/>
        <v/>
      </c>
      <c r="E454" s="5">
        <v>45688</v>
      </c>
      <c r="F454" s="6" t="s">
        <v>13</v>
      </c>
      <c r="G454" s="7">
        <v>78980111</v>
      </c>
      <c r="H454" s="7">
        <v>76927755</v>
      </c>
      <c r="I454" s="7">
        <f>OPERATORS[[#This Row],[Total Sales]]-OPERATORS[[#This Row],[Total Payouts]]</f>
        <v>2052356</v>
      </c>
      <c r="J454" s="7">
        <v>0</v>
      </c>
      <c r="K454" s="7">
        <v>4854252</v>
      </c>
      <c r="L454" s="8">
        <f>OPERATORS[[#This Row],[Withholding Tax]]+OPERATORS[[#This Row],[Gaming Tax]]</f>
        <v>4854252</v>
      </c>
      <c r="M454" s="41"/>
    </row>
    <row r="455" spans="1:13" ht="14" x14ac:dyDescent="0.3">
      <c r="A455" s="18">
        <v>277</v>
      </c>
      <c r="B455" s="3" t="s">
        <v>12</v>
      </c>
      <c r="C455" s="20" t="s">
        <v>31</v>
      </c>
      <c r="D455" s="35" t="str">
        <f t="shared" si="17"/>
        <v/>
      </c>
      <c r="E455" s="5">
        <v>45688</v>
      </c>
      <c r="F455" s="6" t="s">
        <v>13</v>
      </c>
      <c r="G455" s="7">
        <v>21548564</v>
      </c>
      <c r="H455" s="7">
        <v>12290157</v>
      </c>
      <c r="I455" s="7">
        <f>OPERATORS[[#This Row],[Total Sales]]-OPERATORS[[#This Row],[Total Payouts]]</f>
        <v>9258407</v>
      </c>
      <c r="J455" s="7">
        <v>1843523.55</v>
      </c>
      <c r="K455" s="7">
        <v>1996553</v>
      </c>
      <c r="L455" s="8">
        <f>OPERATORS[[#This Row],[Withholding Tax]]+OPERATORS[[#This Row],[Gaming Tax]]</f>
        <v>3840076.55</v>
      </c>
      <c r="M455" s="41"/>
    </row>
    <row r="456" spans="1:13" ht="14" x14ac:dyDescent="0.3">
      <c r="A456" s="18" t="e">
        <f>ROW(#REF!)</f>
        <v>#REF!</v>
      </c>
      <c r="B456" s="3" t="s">
        <v>3</v>
      </c>
      <c r="C456" s="20" t="s">
        <v>57</v>
      </c>
      <c r="D456" s="35" t="str">
        <f t="shared" si="17"/>
        <v/>
      </c>
      <c r="E456" s="5">
        <v>45688</v>
      </c>
      <c r="F456" s="6" t="s">
        <v>13</v>
      </c>
      <c r="G456" s="7">
        <v>87867000</v>
      </c>
      <c r="H456" s="7">
        <v>18740000</v>
      </c>
      <c r="I456" s="7">
        <f>OPERATORS[[#This Row],[Total Sales]]-OPERATORS[[#This Row],[Total Payouts]]</f>
        <v>69127000</v>
      </c>
      <c r="J456" s="7"/>
      <c r="K456" s="7">
        <v>20738100</v>
      </c>
      <c r="L456" s="8">
        <f>OPERATORS[[#This Row],[Withholding Tax]]+OPERATORS[[#This Row],[Gaming Tax]]</f>
        <v>20738100</v>
      </c>
      <c r="M456" s="41"/>
    </row>
    <row r="457" spans="1:13" ht="14" x14ac:dyDescent="0.3">
      <c r="A457" s="18">
        <v>285</v>
      </c>
      <c r="B457" s="3" t="s">
        <v>12</v>
      </c>
      <c r="C457" s="20" t="s">
        <v>60</v>
      </c>
      <c r="D457" s="35" t="str">
        <f t="shared" si="17"/>
        <v/>
      </c>
      <c r="E457" s="5">
        <v>45688</v>
      </c>
      <c r="F457" s="6" t="s">
        <v>13</v>
      </c>
      <c r="G457" s="7">
        <v>9865760378</v>
      </c>
      <c r="H457" s="7">
        <v>7876378114</v>
      </c>
      <c r="I457" s="7">
        <f>OPERATORS[[#This Row],[Total Sales]]-OPERATORS[[#This Row],[Total Payouts]]</f>
        <v>1989382264</v>
      </c>
      <c r="J457" s="7">
        <v>422392345.80000001</v>
      </c>
      <c r="K457" s="7">
        <v>1181456717</v>
      </c>
      <c r="L457" s="8">
        <f>OPERATORS[[#This Row],[Withholding Tax]]+OPERATORS[[#This Row],[Gaming Tax]]</f>
        <v>1603849062.8</v>
      </c>
      <c r="M457" s="41"/>
    </row>
    <row r="458" spans="1:13" ht="14" x14ac:dyDescent="0.3">
      <c r="A458" s="18">
        <f>ROW(A457)</f>
        <v>457</v>
      </c>
      <c r="B458" s="3" t="s">
        <v>16</v>
      </c>
      <c r="C458" s="20" t="s">
        <v>60</v>
      </c>
      <c r="D458" s="35" t="str">
        <f t="shared" si="17"/>
        <v/>
      </c>
      <c r="E458" s="5">
        <v>45688</v>
      </c>
      <c r="F458" s="6" t="s">
        <v>13</v>
      </c>
      <c r="G458" s="7">
        <v>40362608537</v>
      </c>
      <c r="H458" s="7">
        <v>38691333313</v>
      </c>
      <c r="I458" s="7">
        <f>OPERATORS[[#This Row],[Total Sales]]-OPERATORS[[#This Row],[Total Payouts]]</f>
        <v>1671275224</v>
      </c>
      <c r="J458" s="7"/>
      <c r="K458" s="7">
        <v>501382567.19999999</v>
      </c>
      <c r="L458" s="8">
        <f>OPERATORS[[#This Row],[Withholding Tax]]+OPERATORS[[#This Row],[Gaming Tax]]</f>
        <v>501382567.19999999</v>
      </c>
      <c r="M458" s="41"/>
    </row>
    <row r="459" spans="1:13" ht="14" x14ac:dyDescent="0.3">
      <c r="A459" s="18">
        <f>ROW(A458)</f>
        <v>458</v>
      </c>
      <c r="B459" s="3" t="s">
        <v>3</v>
      </c>
      <c r="C459" s="20" t="s">
        <v>53</v>
      </c>
      <c r="D459" s="35" t="str">
        <f t="shared" si="17"/>
        <v/>
      </c>
      <c r="E459" s="5">
        <v>45688</v>
      </c>
      <c r="F459" s="6" t="s">
        <v>13</v>
      </c>
      <c r="G459" s="36">
        <v>452135500</v>
      </c>
      <c r="H459" s="7">
        <v>285126750</v>
      </c>
      <c r="I459" s="7">
        <f>OPERATORS[[#This Row],[Total Sales]]-OPERATORS[[#This Row],[Total Payouts]]</f>
        <v>167008750</v>
      </c>
      <c r="J459" s="7">
        <v>0</v>
      </c>
      <c r="K459" s="7">
        <v>58594500</v>
      </c>
      <c r="L459" s="8">
        <f>OPERATORS[[#This Row],[Withholding Tax]]+OPERATORS[[#This Row],[Gaming Tax]]</f>
        <v>58594500</v>
      </c>
      <c r="M459" s="41"/>
    </row>
    <row r="460" spans="1:13" ht="14" x14ac:dyDescent="0.3">
      <c r="A460" s="18">
        <v>298</v>
      </c>
      <c r="B460" s="3" t="s">
        <v>12</v>
      </c>
      <c r="C460" s="20" t="s">
        <v>68</v>
      </c>
      <c r="D460" s="35" t="str">
        <f t="shared" si="17"/>
        <v/>
      </c>
      <c r="E460" s="5">
        <v>45688</v>
      </c>
      <c r="F460" s="6" t="s">
        <v>13</v>
      </c>
      <c r="G460" s="36">
        <v>179009987</v>
      </c>
      <c r="H460" s="36">
        <v>180130922</v>
      </c>
      <c r="I460" s="7">
        <f>OPERATORS[[#This Row],[Total Sales]]-OPERATORS[[#This Row],[Total Payouts]]</f>
        <v>-1120935</v>
      </c>
      <c r="J460" s="36">
        <v>27019638</v>
      </c>
      <c r="K460" s="36">
        <v>6186004</v>
      </c>
      <c r="L460" s="8">
        <f>OPERATORS[[#This Row],[Withholding Tax]]+OPERATORS[[#This Row],[Gaming Tax]]</f>
        <v>33205642</v>
      </c>
      <c r="M460" s="41"/>
    </row>
    <row r="461" spans="1:13" ht="14" x14ac:dyDescent="0.3">
      <c r="A461" s="18">
        <f>ROW(A460)</f>
        <v>460</v>
      </c>
      <c r="B461" s="3" t="s">
        <v>3</v>
      </c>
      <c r="C461" s="20" t="s">
        <v>71</v>
      </c>
      <c r="D461" s="35" t="str">
        <f t="shared" si="17"/>
        <v/>
      </c>
      <c r="E461" s="5">
        <v>45688</v>
      </c>
      <c r="F461" s="6" t="s">
        <v>13</v>
      </c>
      <c r="G461" s="7">
        <v>201518462</v>
      </c>
      <c r="H461" s="7">
        <v>76538662</v>
      </c>
      <c r="I461" s="7">
        <f>OPERATORS[[#This Row],[Total Sales]]-OPERATORS[[#This Row],[Total Payouts]]</f>
        <v>124979800</v>
      </c>
      <c r="J461" s="7"/>
      <c r="K461" s="7">
        <v>37493940</v>
      </c>
      <c r="L461" s="8">
        <f>OPERATORS[[#This Row],[Withholding Tax]]+OPERATORS[[#This Row],[Gaming Tax]]</f>
        <v>37493940</v>
      </c>
      <c r="M461" s="41"/>
    </row>
    <row r="462" spans="1:13" ht="14" x14ac:dyDescent="0.3">
      <c r="A462" s="18">
        <f>ROW(A461)</f>
        <v>461</v>
      </c>
      <c r="B462" s="3" t="s">
        <v>12</v>
      </c>
      <c r="C462" s="6" t="s">
        <v>54</v>
      </c>
      <c r="D462" s="35" t="str">
        <f t="shared" si="17"/>
        <v/>
      </c>
      <c r="E462" s="5">
        <v>45688</v>
      </c>
      <c r="F462" s="6" t="s">
        <v>13</v>
      </c>
      <c r="G462" s="7">
        <v>225637300</v>
      </c>
      <c r="H462" s="7">
        <v>163719215</v>
      </c>
      <c r="I462" s="7">
        <f>OPERATORS[[#This Row],[Total Sales]]-OPERATORS[[#This Row],[Total Payouts]]</f>
        <v>61918085</v>
      </c>
      <c r="J462" s="7">
        <v>24557882</v>
      </c>
      <c r="K462" s="7">
        <v>14535508</v>
      </c>
      <c r="L462" s="8">
        <f>OPERATORS[[#This Row],[Withholding Tax]]+OPERATORS[[#This Row],[Gaming Tax]]</f>
        <v>39093390</v>
      </c>
      <c r="M462" s="41"/>
    </row>
    <row r="463" spans="1:13" ht="14" x14ac:dyDescent="0.3">
      <c r="A463" s="18">
        <f>ROW(A462)</f>
        <v>462</v>
      </c>
      <c r="B463" s="3" t="s">
        <v>3</v>
      </c>
      <c r="C463" s="20" t="s">
        <v>51</v>
      </c>
      <c r="D463" s="35" t="str">
        <f t="shared" si="17"/>
        <v/>
      </c>
      <c r="E463" s="5">
        <v>45688</v>
      </c>
      <c r="F463" s="6" t="s">
        <v>13</v>
      </c>
      <c r="G463" s="7">
        <v>832996429</v>
      </c>
      <c r="H463" s="7">
        <v>89030658</v>
      </c>
      <c r="I463" s="7">
        <f>OPERATORS[[#This Row],[Total Sales]]-OPERATORS[[#This Row],[Total Payouts]]</f>
        <v>743965771</v>
      </c>
      <c r="J463" s="7">
        <v>0</v>
      </c>
      <c r="K463" s="7">
        <v>249898929</v>
      </c>
      <c r="L463" s="8">
        <f>OPERATORS[[#This Row],[Withholding Tax]]+OPERATORS[[#This Row],[Gaming Tax]]</f>
        <v>249898929</v>
      </c>
      <c r="M463" s="41"/>
    </row>
    <row r="464" spans="1:13" ht="14" x14ac:dyDescent="0.3">
      <c r="A464" s="18">
        <f>ROW(A463)</f>
        <v>463</v>
      </c>
      <c r="B464" s="46" t="s">
        <v>12</v>
      </c>
      <c r="C464" s="6" t="s">
        <v>35</v>
      </c>
      <c r="D464" s="47"/>
      <c r="E464" s="45">
        <v>45688</v>
      </c>
      <c r="F464" s="36" t="s">
        <v>15</v>
      </c>
      <c r="G464" s="36">
        <v>1948931000</v>
      </c>
      <c r="H464" s="36">
        <v>1873429000</v>
      </c>
      <c r="I464" s="7">
        <f>OPERATORS[[#This Row],[Total Sales]]-OPERATORS[[#This Row],[Total Payouts]]</f>
        <v>75502000</v>
      </c>
      <c r="J464" s="36">
        <v>281014350</v>
      </c>
      <c r="K464" s="36">
        <v>17226800</v>
      </c>
      <c r="L464" s="8">
        <f>OPERATORS[[#This Row],[Withholding Tax]]+OPERATORS[[#This Row],[Gaming Tax]]</f>
        <v>298241150</v>
      </c>
      <c r="M464" s="41"/>
    </row>
    <row r="465" spans="1:13" ht="14.5" x14ac:dyDescent="0.35">
      <c r="A465" s="18">
        <v>309</v>
      </c>
      <c r="B465" s="3" t="s">
        <v>16</v>
      </c>
      <c r="C465" s="6" t="s">
        <v>35</v>
      </c>
      <c r="D465" s="35" t="str">
        <f t="shared" ref="D465:D508" si="18">IFERROR(VLOOKUP(C465,OPerators_Range,2,FALSE),"")</f>
        <v/>
      </c>
      <c r="E465" s="45">
        <v>45688</v>
      </c>
      <c r="F465" s="36" t="s">
        <v>13</v>
      </c>
      <c r="G465" s="36">
        <v>1556179720</v>
      </c>
      <c r="H465" s="36">
        <v>1483267520</v>
      </c>
      <c r="I465" s="7">
        <f>OPERATORS[[#This Row],[Total Sales]]-OPERATORS[[#This Row],[Total Payouts]]</f>
        <v>72912200</v>
      </c>
      <c r="J465" s="36"/>
      <c r="K465" s="48">
        <v>22015647</v>
      </c>
      <c r="L465" s="8">
        <f>OPERATORS[[#This Row],[Withholding Tax]]+OPERATORS[[#This Row],[Gaming Tax]]</f>
        <v>22015647</v>
      </c>
      <c r="M465" s="41"/>
    </row>
    <row r="466" spans="1:13" ht="14" x14ac:dyDescent="0.3">
      <c r="A466" s="18">
        <f>ROW(A465)</f>
        <v>465</v>
      </c>
      <c r="B466" s="3" t="s">
        <v>12</v>
      </c>
      <c r="C466" s="20" t="s">
        <v>74</v>
      </c>
      <c r="D466" s="35" t="str">
        <f t="shared" si="18"/>
        <v/>
      </c>
      <c r="E466" s="45">
        <v>45688</v>
      </c>
      <c r="F466" s="36" t="s">
        <v>13</v>
      </c>
      <c r="G466" s="36">
        <v>142411404</v>
      </c>
      <c r="H466" s="36">
        <v>81611967</v>
      </c>
      <c r="I466" s="7">
        <f>OPERATORS[[#This Row],[Total Sales]]-OPERATORS[[#This Row],[Total Payouts]]</f>
        <v>60799437</v>
      </c>
      <c r="J466" s="36">
        <v>12241795</v>
      </c>
      <c r="K466" s="36">
        <v>13311883</v>
      </c>
      <c r="L466" s="8">
        <f>OPERATORS[[#This Row],[Withholding Tax]]+OPERATORS[[#This Row],[Gaming Tax]]</f>
        <v>25553678</v>
      </c>
      <c r="M466" s="41"/>
    </row>
    <row r="467" spans="1:13" ht="14" x14ac:dyDescent="0.3">
      <c r="A467" s="18">
        <f>ROW(A466)</f>
        <v>466</v>
      </c>
      <c r="B467" s="3" t="s">
        <v>12</v>
      </c>
      <c r="C467" s="6" t="s">
        <v>58</v>
      </c>
      <c r="D467" s="35" t="str">
        <f t="shared" si="18"/>
        <v/>
      </c>
      <c r="E467" s="5">
        <v>45688</v>
      </c>
      <c r="F467" s="6" t="s">
        <v>13</v>
      </c>
      <c r="G467" s="7">
        <v>6187728886</v>
      </c>
      <c r="H467" s="7">
        <v>5863113719</v>
      </c>
      <c r="I467" s="7">
        <f>OPERATORS[[#This Row],[Total Sales]]-OPERATORS[[#This Row],[Total Payouts]]</f>
        <v>324615167</v>
      </c>
      <c r="J467" s="7">
        <v>879467058</v>
      </c>
      <c r="K467" s="7">
        <v>64923033</v>
      </c>
      <c r="L467" s="8">
        <v>944390091</v>
      </c>
      <c r="M467" s="41"/>
    </row>
    <row r="468" spans="1:13" ht="14" x14ac:dyDescent="0.3">
      <c r="A468" s="18">
        <v>319</v>
      </c>
      <c r="B468" s="3" t="s">
        <v>16</v>
      </c>
      <c r="C468" s="6" t="s">
        <v>58</v>
      </c>
      <c r="D468" s="35" t="str">
        <f t="shared" si="18"/>
        <v/>
      </c>
      <c r="E468" s="5">
        <v>45688</v>
      </c>
      <c r="F468" s="6" t="s">
        <v>13</v>
      </c>
      <c r="G468" s="7">
        <v>4522586830</v>
      </c>
      <c r="H468" s="7">
        <v>4318485332</v>
      </c>
      <c r="I468" s="7">
        <f>OPERATORS[[#This Row],[Total Sales]]-OPERATORS[[#This Row],[Total Payouts]]</f>
        <v>204101498</v>
      </c>
      <c r="J468" s="7">
        <v>0</v>
      </c>
      <c r="K468" s="7">
        <v>61617362</v>
      </c>
      <c r="L468" s="8">
        <v>61617362</v>
      </c>
      <c r="M468" s="41"/>
    </row>
    <row r="469" spans="1:13" ht="14" x14ac:dyDescent="0.3">
      <c r="A469" s="18">
        <f>ROW(A468)</f>
        <v>468</v>
      </c>
      <c r="B469" s="3" t="s">
        <v>3</v>
      </c>
      <c r="C469" s="20" t="s">
        <v>64</v>
      </c>
      <c r="D469" s="35" t="str">
        <f t="shared" si="18"/>
        <v/>
      </c>
      <c r="E469" s="5">
        <v>45688</v>
      </c>
      <c r="F469" s="6" t="s">
        <v>13</v>
      </c>
      <c r="G469" s="7">
        <v>593820390</v>
      </c>
      <c r="H469" s="7">
        <v>375873425</v>
      </c>
      <c r="I469" s="7">
        <f>OPERATORS[[#This Row],[Total Sales]]-OPERATORS[[#This Row],[Total Payouts]]</f>
        <v>217946965</v>
      </c>
      <c r="J469" s="7">
        <v>0</v>
      </c>
      <c r="K469" s="7">
        <v>65384090</v>
      </c>
      <c r="L469" s="8">
        <f>OPERATORS[[#This Row],[Withholding Tax]]+OPERATORS[[#This Row],[Gaming Tax]]</f>
        <v>65384090</v>
      </c>
      <c r="M469" s="41"/>
    </row>
    <row r="470" spans="1:13" ht="14" x14ac:dyDescent="0.3">
      <c r="A470" s="18">
        <v>323</v>
      </c>
      <c r="B470" s="3" t="s">
        <v>12</v>
      </c>
      <c r="C470" s="20" t="s">
        <v>64</v>
      </c>
      <c r="D470" s="35" t="str">
        <f t="shared" si="18"/>
        <v/>
      </c>
      <c r="E470" s="5">
        <v>45688</v>
      </c>
      <c r="F470" s="6" t="s">
        <v>13</v>
      </c>
      <c r="G470" s="7">
        <v>260217947</v>
      </c>
      <c r="H470" s="7">
        <v>139309553</v>
      </c>
      <c r="I470" s="7">
        <f>OPERATORS[[#This Row],[Total Sales]]-OPERATORS[[#This Row],[Total Payouts]]</f>
        <v>120908394</v>
      </c>
      <c r="J470" s="7">
        <v>20896433</v>
      </c>
      <c r="K470" s="7">
        <v>24181679</v>
      </c>
      <c r="L470" s="8">
        <f>OPERATORS[[#This Row],[Withholding Tax]]+OPERATORS[[#This Row],[Gaming Tax]]</f>
        <v>45078112</v>
      </c>
      <c r="M470" s="41"/>
    </row>
    <row r="471" spans="1:13" ht="14" x14ac:dyDescent="0.3">
      <c r="A471" s="18">
        <f>ROW(A470)</f>
        <v>470</v>
      </c>
      <c r="B471" s="3" t="s">
        <v>12</v>
      </c>
      <c r="C471" s="20" t="s">
        <v>32</v>
      </c>
      <c r="D471" s="35" t="str">
        <f t="shared" si="18"/>
        <v/>
      </c>
      <c r="E471" s="5">
        <v>45688</v>
      </c>
      <c r="F471" s="6" t="s">
        <v>13</v>
      </c>
      <c r="G471" s="7">
        <v>499279517</v>
      </c>
      <c r="H471" s="7">
        <v>348425853</v>
      </c>
      <c r="I471" s="7">
        <f>OPERATORS[[#This Row],[Total Sales]]-OPERATORS[[#This Row],[Total Payouts]]</f>
        <v>150853664</v>
      </c>
      <c r="J471" s="7">
        <v>52263878</v>
      </c>
      <c r="K471" s="7">
        <v>30661335</v>
      </c>
      <c r="L471" s="8">
        <v>82925213</v>
      </c>
      <c r="M471" s="41"/>
    </row>
    <row r="472" spans="1:13" ht="14" x14ac:dyDescent="0.3">
      <c r="A472" s="18">
        <v>334</v>
      </c>
      <c r="B472" s="3" t="s">
        <v>3</v>
      </c>
      <c r="C472" s="20" t="s">
        <v>32</v>
      </c>
      <c r="D472" s="35" t="str">
        <f t="shared" si="18"/>
        <v/>
      </c>
      <c r="E472" s="5">
        <v>45688</v>
      </c>
      <c r="F472" s="6" t="s">
        <v>13</v>
      </c>
      <c r="G472" s="7">
        <v>108049268</v>
      </c>
      <c r="H472" s="7">
        <v>68720215</v>
      </c>
      <c r="I472" s="7">
        <f>OPERATORS[[#This Row],[Total Sales]]-OPERATORS[[#This Row],[Total Payouts]]</f>
        <v>39329053</v>
      </c>
      <c r="J472" s="7">
        <v>0</v>
      </c>
      <c r="K472" s="7">
        <v>15481697</v>
      </c>
      <c r="L472" s="8">
        <v>15481697</v>
      </c>
      <c r="M472" s="41"/>
    </row>
    <row r="473" spans="1:13" ht="14" x14ac:dyDescent="0.3">
      <c r="A473" s="18">
        <f>ROW(A472)</f>
        <v>472</v>
      </c>
      <c r="B473" s="3" t="s">
        <v>12</v>
      </c>
      <c r="C473" s="20" t="s">
        <v>67</v>
      </c>
      <c r="D473" s="35" t="str">
        <f t="shared" si="18"/>
        <v/>
      </c>
      <c r="E473" s="5">
        <v>45688</v>
      </c>
      <c r="F473" s="20" t="s">
        <v>13</v>
      </c>
      <c r="G473" s="7">
        <v>346910841</v>
      </c>
      <c r="H473" s="7">
        <v>226976572</v>
      </c>
      <c r="I473" s="7">
        <v>119934269</v>
      </c>
      <c r="J473" s="7">
        <v>34046486</v>
      </c>
      <c r="K473" s="7">
        <v>23986854</v>
      </c>
      <c r="L473" s="8">
        <f>OPERATORS[[#This Row],[Withholding Tax]]+OPERATORS[[#This Row],[Gaming Tax]]</f>
        <v>58033340</v>
      </c>
      <c r="M473" s="41"/>
    </row>
    <row r="474" spans="1:13" ht="14" x14ac:dyDescent="0.3">
      <c r="A474" s="18">
        <f>ROW(A473)</f>
        <v>473</v>
      </c>
      <c r="B474" s="3" t="s">
        <v>16</v>
      </c>
      <c r="C474" s="20" t="s">
        <v>59</v>
      </c>
      <c r="D474" s="35" t="str">
        <f t="shared" si="18"/>
        <v/>
      </c>
      <c r="E474" s="5">
        <v>45688</v>
      </c>
      <c r="F474" s="20" t="s">
        <v>13</v>
      </c>
      <c r="G474" s="7">
        <v>60902900</v>
      </c>
      <c r="H474" s="7">
        <v>49831529</v>
      </c>
      <c r="I474" s="7">
        <v>11071371</v>
      </c>
      <c r="J474" s="7">
        <v>0</v>
      </c>
      <c r="K474" s="7">
        <v>3321411</v>
      </c>
      <c r="L474" s="8">
        <f>OPERATORS[[#This Row],[Withholding Tax]]+OPERATORS[[#This Row],[Gaming Tax]]</f>
        <v>3321411</v>
      </c>
      <c r="M474" s="41"/>
    </row>
    <row r="475" spans="1:13" ht="14" x14ac:dyDescent="0.3">
      <c r="A475" s="18">
        <f>ROW(A474)</f>
        <v>474</v>
      </c>
      <c r="B475" s="3" t="s">
        <v>12</v>
      </c>
      <c r="C475" s="20" t="s">
        <v>65</v>
      </c>
      <c r="D475" s="35" t="str">
        <f t="shared" si="18"/>
        <v/>
      </c>
      <c r="E475" s="5">
        <v>45716</v>
      </c>
      <c r="F475" s="6" t="s">
        <v>13</v>
      </c>
      <c r="G475" s="7" t="s">
        <v>19</v>
      </c>
      <c r="H475" s="7" t="s">
        <v>19</v>
      </c>
      <c r="I475" s="7">
        <v>0</v>
      </c>
      <c r="J475" s="7" t="s">
        <v>19</v>
      </c>
      <c r="K475" s="7" t="s">
        <v>19</v>
      </c>
      <c r="L475" s="8" t="s">
        <v>19</v>
      </c>
      <c r="M475" s="41"/>
    </row>
    <row r="476" spans="1:13" ht="14" x14ac:dyDescent="0.3">
      <c r="A476" s="18">
        <v>197</v>
      </c>
      <c r="B476" s="3" t="s">
        <v>3</v>
      </c>
      <c r="C476" s="20" t="s">
        <v>65</v>
      </c>
      <c r="D476" s="35" t="str">
        <f t="shared" si="18"/>
        <v/>
      </c>
      <c r="E476" s="5">
        <v>45716</v>
      </c>
      <c r="F476" s="6" t="s">
        <v>13</v>
      </c>
      <c r="G476" s="7" t="s">
        <v>19</v>
      </c>
      <c r="H476" s="7" t="s">
        <v>19</v>
      </c>
      <c r="I476" s="7">
        <v>0</v>
      </c>
      <c r="J476" s="7" t="s">
        <v>19</v>
      </c>
      <c r="K476" s="7" t="s">
        <v>19</v>
      </c>
      <c r="L476" s="8" t="s">
        <v>19</v>
      </c>
      <c r="M476" s="41"/>
    </row>
    <row r="477" spans="1:13" ht="14" x14ac:dyDescent="0.3">
      <c r="A477" s="18">
        <f>ROW(A476)</f>
        <v>476</v>
      </c>
      <c r="B477" s="3" t="s">
        <v>12</v>
      </c>
      <c r="C477" s="20" t="s">
        <v>73</v>
      </c>
      <c r="D477" s="35" t="str">
        <f t="shared" si="18"/>
        <v/>
      </c>
      <c r="E477" s="5">
        <v>45716</v>
      </c>
      <c r="F477" s="6" t="s">
        <v>13</v>
      </c>
      <c r="G477" s="7" t="s">
        <v>19</v>
      </c>
      <c r="H477" s="7" t="s">
        <v>19</v>
      </c>
      <c r="I477" s="7">
        <v>0</v>
      </c>
      <c r="J477" s="7" t="s">
        <v>19</v>
      </c>
      <c r="K477" s="7" t="s">
        <v>19</v>
      </c>
      <c r="L477" s="8" t="s">
        <v>19</v>
      </c>
      <c r="M477" s="41"/>
    </row>
    <row r="478" spans="1:13" ht="14" x14ac:dyDescent="0.3">
      <c r="A478" s="18">
        <v>198</v>
      </c>
      <c r="B478" s="3" t="s">
        <v>3</v>
      </c>
      <c r="C478" s="20" t="s">
        <v>73</v>
      </c>
      <c r="D478" s="35" t="str">
        <f t="shared" si="18"/>
        <v/>
      </c>
      <c r="E478" s="5">
        <v>45716</v>
      </c>
      <c r="F478" s="6" t="s">
        <v>13</v>
      </c>
      <c r="G478" s="7" t="s">
        <v>19</v>
      </c>
      <c r="H478" s="7" t="s">
        <v>19</v>
      </c>
      <c r="I478" s="7">
        <v>0</v>
      </c>
      <c r="J478" s="7" t="s">
        <v>19</v>
      </c>
      <c r="K478" s="7" t="s">
        <v>19</v>
      </c>
      <c r="L478" s="8" t="s">
        <v>19</v>
      </c>
      <c r="M478" s="41"/>
    </row>
    <row r="479" spans="1:13" ht="14" x14ac:dyDescent="0.3">
      <c r="A479" s="18">
        <f>ROW(A478)</f>
        <v>478</v>
      </c>
      <c r="B479" s="3" t="s">
        <v>3</v>
      </c>
      <c r="C479" s="20" t="s">
        <v>51</v>
      </c>
      <c r="D479" s="35" t="str">
        <f t="shared" si="18"/>
        <v/>
      </c>
      <c r="E479" s="5">
        <v>45716</v>
      </c>
      <c r="F479" s="6" t="s">
        <v>13</v>
      </c>
      <c r="G479" s="7">
        <v>930834679</v>
      </c>
      <c r="H479" s="7">
        <v>34455769</v>
      </c>
      <c r="I479" s="7">
        <f>OPERATORS[[#This Row],[Total Sales]]-OPERATORS[[#This Row],[Total Payouts]]</f>
        <v>896378910</v>
      </c>
      <c r="J479" s="7">
        <v>0</v>
      </c>
      <c r="K479" s="7">
        <v>279250404</v>
      </c>
      <c r="L479" s="8">
        <f>OPERATORS[[#This Row],[Gaming Tax]]+OPERATORS[[#This Row],[Withholding Tax]]</f>
        <v>279250404</v>
      </c>
      <c r="M479" s="41"/>
    </row>
    <row r="480" spans="1:13" ht="14" x14ac:dyDescent="0.3">
      <c r="A480" s="18">
        <v>199</v>
      </c>
      <c r="B480" s="3" t="s">
        <v>16</v>
      </c>
      <c r="C480" s="20" t="s">
        <v>69</v>
      </c>
      <c r="D480" s="35" t="str">
        <f t="shared" si="18"/>
        <v/>
      </c>
      <c r="E480" s="5">
        <v>45716</v>
      </c>
      <c r="F480" s="6" t="s">
        <v>13</v>
      </c>
      <c r="G480" s="7">
        <v>545998500</v>
      </c>
      <c r="H480" s="7">
        <v>433618392</v>
      </c>
      <c r="I480" s="7">
        <f>OPERATORS[[#This Row],[Total Sales]]-OPERATORS[[#This Row],[Total Payouts]]</f>
        <v>112380108</v>
      </c>
      <c r="J480" s="7">
        <v>0</v>
      </c>
      <c r="K480" s="7">
        <v>33714032</v>
      </c>
      <c r="L480" s="8">
        <f>OPERATORS[[#This Row],[Gaming Tax]]+OPERATORS[[#This Row],[Withholding Tax]]</f>
        <v>33714032</v>
      </c>
      <c r="M480" s="41"/>
    </row>
    <row r="481" spans="1:13" ht="14" x14ac:dyDescent="0.3">
      <c r="A481" s="18">
        <f>ROW(A480)</f>
        <v>480</v>
      </c>
      <c r="B481" s="3" t="s">
        <v>16</v>
      </c>
      <c r="C481" s="20" t="s">
        <v>27</v>
      </c>
      <c r="D481" s="35" t="str">
        <f t="shared" si="18"/>
        <v/>
      </c>
      <c r="E481" s="5">
        <v>45716</v>
      </c>
      <c r="F481" s="6" t="s">
        <v>13</v>
      </c>
      <c r="G481" s="7">
        <v>152441802</v>
      </c>
      <c r="H481" s="7">
        <v>135492657</v>
      </c>
      <c r="I481" s="7">
        <f>OPERATORS[[#This Row],[Total Sales]]-OPERATORS[[#This Row],[Total Payouts]]</f>
        <v>16949145</v>
      </c>
      <c r="J481" s="7">
        <v>0</v>
      </c>
      <c r="K481" s="7">
        <v>5084743</v>
      </c>
      <c r="L481" s="8">
        <f>OPERATORS[[#This Row],[Gaming Tax]]+OPERATORS[[#This Row],[Withholding Tax]]</f>
        <v>5084743</v>
      </c>
      <c r="M481" s="41"/>
    </row>
    <row r="482" spans="1:13" ht="14" x14ac:dyDescent="0.3">
      <c r="A482" s="18">
        <v>200</v>
      </c>
      <c r="B482" s="3" t="s">
        <v>12</v>
      </c>
      <c r="C482" s="20" t="s">
        <v>27</v>
      </c>
      <c r="D482" s="35" t="str">
        <f t="shared" si="18"/>
        <v/>
      </c>
      <c r="E482" s="5">
        <v>45716</v>
      </c>
      <c r="F482" s="6" t="s">
        <v>13</v>
      </c>
      <c r="G482" s="7">
        <v>0</v>
      </c>
      <c r="H482" s="7">
        <v>0</v>
      </c>
      <c r="I482" s="7">
        <f>OPERATORS[[#This Row],[Total Sales]]-OPERATORS[[#This Row],[Total Payouts]]</f>
        <v>0</v>
      </c>
      <c r="J482" s="7">
        <v>0</v>
      </c>
      <c r="K482" s="7">
        <v>0</v>
      </c>
      <c r="L482" s="8">
        <f>OPERATORS[[#This Row],[Gaming Tax]]+OPERATORS[[#This Row],[Withholding Tax]]</f>
        <v>0</v>
      </c>
      <c r="M482" s="41"/>
    </row>
    <row r="483" spans="1:13" ht="14" x14ac:dyDescent="0.3">
      <c r="A483" s="18">
        <f>ROW(A482)</f>
        <v>482</v>
      </c>
      <c r="B483" s="3" t="s">
        <v>12</v>
      </c>
      <c r="C483" s="20" t="s">
        <v>30</v>
      </c>
      <c r="D483" s="35" t="str">
        <f t="shared" si="18"/>
        <v/>
      </c>
      <c r="E483" s="5">
        <v>45716</v>
      </c>
      <c r="F483" s="6" t="s">
        <v>13</v>
      </c>
      <c r="G483" s="7">
        <v>199587766</v>
      </c>
      <c r="H483" s="7">
        <v>159433740</v>
      </c>
      <c r="I483" s="7">
        <f>OPERATORS[[#This Row],[Total Sales]]-OPERATORS[[#This Row],[Total Payouts]]</f>
        <v>40154026</v>
      </c>
      <c r="J483" s="7">
        <v>23915061</v>
      </c>
      <c r="K483" s="7">
        <v>9480239</v>
      </c>
      <c r="L483" s="8">
        <v>33395300</v>
      </c>
      <c r="M483" s="41"/>
    </row>
    <row r="484" spans="1:13" ht="14" x14ac:dyDescent="0.3">
      <c r="A484" s="18">
        <v>201</v>
      </c>
      <c r="B484" s="3" t="s">
        <v>12</v>
      </c>
      <c r="C484" s="20" t="s">
        <v>78</v>
      </c>
      <c r="D484" s="35" t="str">
        <f t="shared" si="18"/>
        <v/>
      </c>
      <c r="E484" s="5">
        <v>45716</v>
      </c>
      <c r="F484" s="6" t="s">
        <v>13</v>
      </c>
      <c r="G484" s="7">
        <v>179691533</v>
      </c>
      <c r="H484" s="7">
        <v>167442118</v>
      </c>
      <c r="I484" s="7">
        <f>OPERATORS[[#This Row],[Total Sales]]-OPERATORS[[#This Row],[Total Payouts]]</f>
        <v>12249415</v>
      </c>
      <c r="J484" s="7">
        <v>25116318</v>
      </c>
      <c r="K484" s="7">
        <v>3962731</v>
      </c>
      <c r="L484" s="8">
        <v>29079049</v>
      </c>
      <c r="M484" s="41"/>
    </row>
    <row r="485" spans="1:13" ht="14" x14ac:dyDescent="0.3">
      <c r="A485" s="18">
        <f>ROW(A484)</f>
        <v>484</v>
      </c>
      <c r="B485" s="3" t="s">
        <v>12</v>
      </c>
      <c r="C485" s="20" t="s">
        <v>29</v>
      </c>
      <c r="D485" s="35" t="str">
        <f t="shared" si="18"/>
        <v/>
      </c>
      <c r="E485" s="5">
        <v>45716</v>
      </c>
      <c r="F485" s="6" t="s">
        <v>13</v>
      </c>
      <c r="G485" s="7">
        <v>791550865</v>
      </c>
      <c r="H485" s="7">
        <v>597322323</v>
      </c>
      <c r="I485" s="7">
        <f>OPERATORS[[#This Row],[Total Sales]]-OPERATORS[[#This Row],[Total Payouts]]</f>
        <v>194228542</v>
      </c>
      <c r="J485" s="7">
        <v>89598348</v>
      </c>
      <c r="K485" s="7">
        <v>41461723</v>
      </c>
      <c r="L485" s="8">
        <f>OPERATORS[[#This Row],[Gaming Tax]]+OPERATORS[[#This Row],[Withholding Tax]]</f>
        <v>131060071</v>
      </c>
      <c r="M485" s="41"/>
    </row>
    <row r="486" spans="1:13" ht="14" x14ac:dyDescent="0.3">
      <c r="A486" s="18">
        <v>202</v>
      </c>
      <c r="B486" s="3" t="s">
        <v>16</v>
      </c>
      <c r="C486" s="20" t="s">
        <v>38</v>
      </c>
      <c r="D486" s="35" t="str">
        <f t="shared" si="18"/>
        <v/>
      </c>
      <c r="E486" s="5">
        <v>45716</v>
      </c>
      <c r="F486" s="6" t="s">
        <v>13</v>
      </c>
      <c r="G486" s="7">
        <v>125181500</v>
      </c>
      <c r="H486" s="7">
        <v>89022480</v>
      </c>
      <c r="I486" s="7">
        <f>OPERATORS[[#This Row],[Total Sales]]-OPERATORS[[#This Row],[Total Payouts]]</f>
        <v>36159020</v>
      </c>
      <c r="J486" s="7">
        <v>0</v>
      </c>
      <c r="K486" s="7">
        <v>10847706</v>
      </c>
      <c r="L486" s="8">
        <f>OPERATORS[[#This Row],[Gaming Tax]]+OPERATORS[[#This Row],[Withholding Tax]]</f>
        <v>10847706</v>
      </c>
      <c r="M486" s="41"/>
    </row>
    <row r="487" spans="1:13" ht="14" x14ac:dyDescent="0.3">
      <c r="A487" s="18">
        <f>ROW(A486)</f>
        <v>486</v>
      </c>
      <c r="B487" s="3" t="s">
        <v>12</v>
      </c>
      <c r="C487" s="20" t="s">
        <v>37</v>
      </c>
      <c r="D487" s="35" t="str">
        <f t="shared" si="18"/>
        <v/>
      </c>
      <c r="E487" s="5">
        <v>45716</v>
      </c>
      <c r="F487" s="6" t="s">
        <v>13</v>
      </c>
      <c r="G487" s="7">
        <v>1122380191</v>
      </c>
      <c r="H487" s="7">
        <v>966169992</v>
      </c>
      <c r="I487" s="7">
        <f>OPERATORS[[#This Row],[Total Sales]]-OPERATORS[[#This Row],[Total Payouts]]</f>
        <v>156210199</v>
      </c>
      <c r="J487" s="7">
        <v>144925499</v>
      </c>
      <c r="K487" s="7">
        <v>54307084</v>
      </c>
      <c r="L487" s="8">
        <f>OPERATORS[[#This Row],[Gaming Tax]]+OPERATORS[[#This Row],[Withholding Tax]]</f>
        <v>199232583</v>
      </c>
      <c r="M487" s="41"/>
    </row>
    <row r="488" spans="1:13" ht="14" x14ac:dyDescent="0.3">
      <c r="A488" s="18">
        <v>203</v>
      </c>
      <c r="B488" s="3" t="s">
        <v>3</v>
      </c>
      <c r="C488" s="20" t="s">
        <v>61</v>
      </c>
      <c r="D488" s="35" t="str">
        <f t="shared" si="18"/>
        <v/>
      </c>
      <c r="E488" s="5">
        <v>45716</v>
      </c>
      <c r="F488" s="6" t="s">
        <v>13</v>
      </c>
      <c r="G488" s="7">
        <v>5167812502</v>
      </c>
      <c r="H488" s="7">
        <v>5324315170</v>
      </c>
      <c r="I488" s="7">
        <f>OPERATORS[[#This Row],[Total Sales]]-OPERATORS[[#This Row],[Total Payouts]]</f>
        <v>-156502668</v>
      </c>
      <c r="J488" s="7">
        <v>0</v>
      </c>
      <c r="K488" s="7">
        <v>84922195</v>
      </c>
      <c r="L488" s="8">
        <v>84922195</v>
      </c>
      <c r="M488" s="41"/>
    </row>
    <row r="489" spans="1:13" ht="14" x14ac:dyDescent="0.3">
      <c r="A489" s="18">
        <f>ROW(A488)</f>
        <v>488</v>
      </c>
      <c r="B489" s="3" t="s">
        <v>3</v>
      </c>
      <c r="C489" s="20" t="s">
        <v>57</v>
      </c>
      <c r="D489" s="35" t="str">
        <f t="shared" si="18"/>
        <v/>
      </c>
      <c r="E489" s="5">
        <v>45716</v>
      </c>
      <c r="F489" s="6" t="s">
        <v>13</v>
      </c>
      <c r="G489" s="7">
        <v>131585000</v>
      </c>
      <c r="H489" s="7">
        <v>18385000</v>
      </c>
      <c r="I489" s="7">
        <f>OPERATORS[[#This Row],[Total Sales]]-OPERATORS[[#This Row],[Total Payouts]]</f>
        <v>113200000</v>
      </c>
      <c r="J489" s="7">
        <v>0</v>
      </c>
      <c r="K489" s="7">
        <v>33960000</v>
      </c>
      <c r="L489" s="8">
        <v>33960000</v>
      </c>
      <c r="M489" s="41"/>
    </row>
    <row r="490" spans="1:13" ht="14" x14ac:dyDescent="0.3">
      <c r="A490" s="18">
        <v>204</v>
      </c>
      <c r="B490" s="3" t="s">
        <v>12</v>
      </c>
      <c r="C490" s="20" t="s">
        <v>46</v>
      </c>
      <c r="D490" s="35" t="str">
        <f t="shared" si="18"/>
        <v/>
      </c>
      <c r="E490" s="5">
        <v>45716</v>
      </c>
      <c r="F490" s="6" t="s">
        <v>13</v>
      </c>
      <c r="G490" s="7">
        <v>328769513</v>
      </c>
      <c r="H490" s="7">
        <v>246046979</v>
      </c>
      <c r="I490" s="7">
        <f>OPERATORS[[#This Row],[Total Sales]]-OPERATORS[[#This Row],[Total Payouts]]</f>
        <v>82722534</v>
      </c>
      <c r="J490" s="7">
        <v>36907047</v>
      </c>
      <c r="K490" s="7">
        <v>17615017</v>
      </c>
      <c r="L490" s="8">
        <v>54522064</v>
      </c>
      <c r="M490" s="41"/>
    </row>
    <row r="491" spans="1:13" ht="14" x14ac:dyDescent="0.3">
      <c r="A491" s="18">
        <f>ROW(A490)</f>
        <v>490</v>
      </c>
      <c r="B491" s="3" t="s">
        <v>16</v>
      </c>
      <c r="C491" s="20" t="s">
        <v>46</v>
      </c>
      <c r="D491" s="35" t="str">
        <f t="shared" si="18"/>
        <v/>
      </c>
      <c r="E491" s="5">
        <v>45716</v>
      </c>
      <c r="F491" s="6" t="s">
        <v>13</v>
      </c>
      <c r="G491" s="7">
        <v>2031841971</v>
      </c>
      <c r="H491" s="7">
        <v>1829135654</v>
      </c>
      <c r="I491" s="7">
        <f>OPERATORS[[#This Row],[Total Sales]]-OPERATORS[[#This Row],[Total Payouts]]</f>
        <v>202706317</v>
      </c>
      <c r="J491" s="7">
        <v>0</v>
      </c>
      <c r="K491" s="7">
        <v>60811895</v>
      </c>
      <c r="L491" s="8">
        <v>60811895</v>
      </c>
      <c r="M491" s="41"/>
    </row>
    <row r="492" spans="1:13" ht="14" x14ac:dyDescent="0.3">
      <c r="A492" s="18">
        <v>205</v>
      </c>
      <c r="B492" s="3" t="s">
        <v>3</v>
      </c>
      <c r="C492" s="20" t="s">
        <v>76</v>
      </c>
      <c r="D492" s="35" t="str">
        <f t="shared" si="18"/>
        <v/>
      </c>
      <c r="E492" s="5">
        <v>45716</v>
      </c>
      <c r="F492" s="6" t="s">
        <v>13</v>
      </c>
      <c r="G492" s="7">
        <v>1979000</v>
      </c>
      <c r="H492" s="7">
        <v>0</v>
      </c>
      <c r="I492" s="7">
        <f>OPERATORS[[#This Row],[Total Sales]]-OPERATORS[[#This Row],[Total Payouts]]</f>
        <v>1979000</v>
      </c>
      <c r="J492" s="7">
        <v>0</v>
      </c>
      <c r="K492" s="7">
        <v>593700</v>
      </c>
      <c r="L492" s="8">
        <v>593700</v>
      </c>
      <c r="M492" s="41"/>
    </row>
    <row r="493" spans="1:13" ht="14" x14ac:dyDescent="0.3">
      <c r="A493" s="18">
        <f>ROW(A492)</f>
        <v>492</v>
      </c>
      <c r="B493" s="3" t="s">
        <v>3</v>
      </c>
      <c r="C493" s="20" t="s">
        <v>48</v>
      </c>
      <c r="D493" s="35" t="str">
        <f t="shared" si="18"/>
        <v/>
      </c>
      <c r="E493" s="5">
        <v>45716</v>
      </c>
      <c r="F493" s="6" t="s">
        <v>13</v>
      </c>
      <c r="G493" s="7">
        <v>1028361000</v>
      </c>
      <c r="H493" s="7">
        <v>0</v>
      </c>
      <c r="I493" s="7">
        <f>OPERATORS[[#This Row],[Total Sales]]-OPERATORS[[#This Row],[Total Payouts]]</f>
        <v>1028361000</v>
      </c>
      <c r="J493" s="7">
        <v>0</v>
      </c>
      <c r="K493" s="7">
        <v>308508300</v>
      </c>
      <c r="L493" s="8">
        <v>308508300</v>
      </c>
      <c r="M493" s="41"/>
    </row>
    <row r="494" spans="1:13" ht="14" x14ac:dyDescent="0.3">
      <c r="A494" s="18">
        <v>206</v>
      </c>
      <c r="B494" s="3" t="s">
        <v>12</v>
      </c>
      <c r="C494" s="20" t="s">
        <v>28</v>
      </c>
      <c r="D494" s="35" t="str">
        <f t="shared" si="18"/>
        <v/>
      </c>
      <c r="E494" s="5">
        <v>45716</v>
      </c>
      <c r="F494" s="6" t="s">
        <v>13</v>
      </c>
      <c r="G494" s="7">
        <v>973047402</v>
      </c>
      <c r="H494" s="7">
        <v>750189359</v>
      </c>
      <c r="I494" s="7">
        <f>OPERATORS[[#This Row],[Total Sales]]-OPERATORS[[#This Row],[Total Payouts]]</f>
        <v>222858043</v>
      </c>
      <c r="J494" s="7">
        <v>112528404</v>
      </c>
      <c r="K494" s="7">
        <v>44571609</v>
      </c>
      <c r="L494" s="8">
        <v>157100012</v>
      </c>
      <c r="M494" s="41"/>
    </row>
    <row r="495" spans="1:13" ht="14" x14ac:dyDescent="0.3">
      <c r="A495" s="18">
        <f>ROW(A494)</f>
        <v>494</v>
      </c>
      <c r="B495" s="3" t="s">
        <v>3</v>
      </c>
      <c r="C495" s="20" t="s">
        <v>28</v>
      </c>
      <c r="D495" s="35" t="str">
        <f t="shared" si="18"/>
        <v/>
      </c>
      <c r="E495" s="5">
        <v>45716</v>
      </c>
      <c r="F495" s="6" t="s">
        <v>13</v>
      </c>
      <c r="G495" s="7">
        <v>3804441996</v>
      </c>
      <c r="H495" s="7">
        <v>3569798317</v>
      </c>
      <c r="I495" s="7">
        <f>OPERATORS[[#This Row],[Total Sales]]-OPERATORS[[#This Row],[Total Payouts]]</f>
        <v>234643679</v>
      </c>
      <c r="J495" s="7">
        <v>0</v>
      </c>
      <c r="K495" s="7">
        <v>84222577</v>
      </c>
      <c r="L495" s="8">
        <v>84222577</v>
      </c>
      <c r="M495" s="41"/>
    </row>
    <row r="496" spans="1:13" ht="14" x14ac:dyDescent="0.3">
      <c r="A496" s="18">
        <v>207</v>
      </c>
      <c r="B496" s="3" t="s">
        <v>12</v>
      </c>
      <c r="C496" s="20" t="s">
        <v>70</v>
      </c>
      <c r="D496" s="35" t="str">
        <f t="shared" si="18"/>
        <v/>
      </c>
      <c r="E496" s="5">
        <v>45716</v>
      </c>
      <c r="F496" s="6" t="s">
        <v>13</v>
      </c>
      <c r="G496" s="7">
        <v>5586728463</v>
      </c>
      <c r="H496" s="7">
        <v>4587536635</v>
      </c>
      <c r="I496" s="7">
        <f>OPERATORS[[#This Row],[Total Sales]]-OPERATORS[[#This Row],[Total Payouts]]</f>
        <v>999191828</v>
      </c>
      <c r="J496" s="7">
        <v>688130495</v>
      </c>
      <c r="K496" s="7">
        <v>206487933</v>
      </c>
      <c r="L496" s="8">
        <v>894618429</v>
      </c>
      <c r="M496" s="41"/>
    </row>
    <row r="497" spans="1:13" ht="14" x14ac:dyDescent="0.3">
      <c r="A497" s="18">
        <f>ROW(A496)</f>
        <v>496</v>
      </c>
      <c r="B497" s="3" t="s">
        <v>12</v>
      </c>
      <c r="C497" s="20" t="s">
        <v>45</v>
      </c>
      <c r="D497" s="35" t="str">
        <f t="shared" si="18"/>
        <v/>
      </c>
      <c r="E497" s="5">
        <v>45716</v>
      </c>
      <c r="F497" s="6" t="s">
        <v>13</v>
      </c>
      <c r="G497" s="7">
        <v>3371960589</v>
      </c>
      <c r="H497" s="7">
        <v>2301684309</v>
      </c>
      <c r="I497" s="7">
        <f>OPERATORS[[#This Row],[Total Sales]]-OPERATORS[[#This Row],[Total Payouts]]</f>
        <v>1070276280</v>
      </c>
      <c r="J497" s="7">
        <v>345252646</v>
      </c>
      <c r="K497" s="7">
        <v>216783800</v>
      </c>
      <c r="L497" s="8">
        <v>562036446</v>
      </c>
      <c r="M497" s="41"/>
    </row>
    <row r="498" spans="1:13" ht="14" x14ac:dyDescent="0.3">
      <c r="A498" s="18">
        <v>208</v>
      </c>
      <c r="B498" s="3" t="s">
        <v>16</v>
      </c>
      <c r="C498" s="20" t="s">
        <v>45</v>
      </c>
      <c r="D498" s="35" t="str">
        <f t="shared" si="18"/>
        <v/>
      </c>
      <c r="E498" s="5">
        <v>45716</v>
      </c>
      <c r="F498" s="6" t="s">
        <v>13</v>
      </c>
      <c r="G498" s="7">
        <v>5751155220</v>
      </c>
      <c r="H498" s="7">
        <v>4994934220</v>
      </c>
      <c r="I498" s="7">
        <f>OPERATORS[[#This Row],[Total Sales]]-OPERATORS[[#This Row],[Total Payouts]]</f>
        <v>756221000</v>
      </c>
      <c r="J498" s="7">
        <v>0</v>
      </c>
      <c r="K498" s="7">
        <v>226866300</v>
      </c>
      <c r="L498" s="8">
        <v>226866300</v>
      </c>
      <c r="M498" s="41"/>
    </row>
    <row r="499" spans="1:13" ht="14" x14ac:dyDescent="0.3">
      <c r="A499" s="18">
        <f>ROW(A498)</f>
        <v>498</v>
      </c>
      <c r="B499" s="3" t="s">
        <v>3</v>
      </c>
      <c r="C499" s="20" t="s">
        <v>52</v>
      </c>
      <c r="D499" s="35" t="str">
        <f t="shared" si="18"/>
        <v/>
      </c>
      <c r="E499" s="5">
        <v>45716</v>
      </c>
      <c r="F499" s="6" t="s">
        <v>13</v>
      </c>
      <c r="G499" s="7">
        <v>75000000</v>
      </c>
      <c r="H499" s="7">
        <v>14280000</v>
      </c>
      <c r="I499" s="7">
        <f>OPERATORS[[#This Row],[Total Sales]]-OPERATORS[[#This Row],[Total Payouts]]</f>
        <v>60720000</v>
      </c>
      <c r="J499" s="7">
        <v>0</v>
      </c>
      <c r="K499" s="7">
        <v>18216000</v>
      </c>
      <c r="L499" s="8">
        <v>18216000</v>
      </c>
      <c r="M499" s="41"/>
    </row>
    <row r="500" spans="1:13" ht="14" x14ac:dyDescent="0.3">
      <c r="A500" s="18">
        <v>209</v>
      </c>
      <c r="B500" s="3" t="s">
        <v>12</v>
      </c>
      <c r="C500" s="20" t="s">
        <v>50</v>
      </c>
      <c r="D500" s="35" t="str">
        <f t="shared" si="18"/>
        <v/>
      </c>
      <c r="E500" s="5">
        <v>45716</v>
      </c>
      <c r="F500" s="6" t="s">
        <v>13</v>
      </c>
      <c r="G500" s="7">
        <v>84104891</v>
      </c>
      <c r="H500" s="7">
        <v>65539096</v>
      </c>
      <c r="I500" s="7">
        <f>OPERATORS[[#This Row],[Total Sales]]-OPERATORS[[#This Row],[Total Payouts]]</f>
        <v>18565795</v>
      </c>
      <c r="J500" s="7">
        <v>9830864</v>
      </c>
      <c r="K500" s="7">
        <v>4055766</v>
      </c>
      <c r="L500" s="8">
        <v>13886630</v>
      </c>
      <c r="M500" s="41"/>
    </row>
    <row r="501" spans="1:13" s="23" customFormat="1" ht="14" x14ac:dyDescent="0.3">
      <c r="A501" s="18">
        <f>ROW(A500)</f>
        <v>500</v>
      </c>
      <c r="B501" s="3" t="s">
        <v>12</v>
      </c>
      <c r="C501" s="20" t="s">
        <v>50</v>
      </c>
      <c r="D501" s="35" t="str">
        <f t="shared" si="18"/>
        <v/>
      </c>
      <c r="E501" s="5">
        <v>45716</v>
      </c>
      <c r="F501" s="6" t="s">
        <v>13</v>
      </c>
      <c r="G501" s="7">
        <v>790349408</v>
      </c>
      <c r="H501" s="7">
        <v>786116570</v>
      </c>
      <c r="I501" s="7">
        <f>OPERATORS[[#This Row],[Total Sales]]-OPERATORS[[#This Row],[Total Payouts]]</f>
        <v>4232838</v>
      </c>
      <c r="J501" s="7">
        <v>0</v>
      </c>
      <c r="K501" s="7">
        <v>10420313</v>
      </c>
      <c r="L501" s="8">
        <v>10420313</v>
      </c>
    </row>
    <row r="502" spans="1:13" s="23" customFormat="1" ht="14" x14ac:dyDescent="0.3">
      <c r="A502" s="18">
        <v>210</v>
      </c>
      <c r="B502" s="3" t="s">
        <v>3</v>
      </c>
      <c r="C502" s="20" t="s">
        <v>70</v>
      </c>
      <c r="D502" s="35" t="str">
        <f t="shared" si="18"/>
        <v/>
      </c>
      <c r="E502" s="5">
        <v>45716</v>
      </c>
      <c r="F502" s="6" t="s">
        <v>13</v>
      </c>
      <c r="G502" s="7">
        <v>5245815753</v>
      </c>
      <c r="H502" s="7">
        <v>5057729220</v>
      </c>
      <c r="I502" s="7">
        <f>OPERATORS[[#This Row],[Total Sales]]-OPERATORS[[#This Row],[Total Payouts]]</f>
        <v>188086533</v>
      </c>
      <c r="J502" s="7">
        <v>0</v>
      </c>
      <c r="K502" s="7">
        <v>56425960</v>
      </c>
      <c r="L502" s="8">
        <v>56425960</v>
      </c>
    </row>
    <row r="503" spans="1:13" s="23" customFormat="1" ht="14" x14ac:dyDescent="0.3">
      <c r="A503" s="18">
        <f>ROW(A502)</f>
        <v>502</v>
      </c>
      <c r="B503" s="3" t="s">
        <v>16</v>
      </c>
      <c r="C503" s="20" t="s">
        <v>36</v>
      </c>
      <c r="D503" s="35" t="str">
        <f t="shared" si="18"/>
        <v/>
      </c>
      <c r="E503" s="5">
        <v>45716</v>
      </c>
      <c r="F503" s="6" t="s">
        <v>13</v>
      </c>
      <c r="G503" s="7">
        <v>226903570</v>
      </c>
      <c r="H503" s="7">
        <v>192756614</v>
      </c>
      <c r="I503" s="7">
        <f>OPERATORS[[#This Row],[Total Sales]]-OPERATORS[[#This Row],[Total Payouts]]</f>
        <v>34146956</v>
      </c>
      <c r="J503" s="7">
        <v>0</v>
      </c>
      <c r="K503" s="7">
        <v>10482275</v>
      </c>
      <c r="L503" s="8">
        <v>10482275</v>
      </c>
    </row>
    <row r="504" spans="1:13" s="23" customFormat="1" ht="14" x14ac:dyDescent="0.3">
      <c r="A504" s="18">
        <v>211</v>
      </c>
      <c r="B504" s="3" t="s">
        <v>12</v>
      </c>
      <c r="C504" s="20" t="s">
        <v>36</v>
      </c>
      <c r="D504" s="35" t="str">
        <f t="shared" si="18"/>
        <v/>
      </c>
      <c r="E504" s="5">
        <v>45716</v>
      </c>
      <c r="F504" s="6" t="s">
        <v>13</v>
      </c>
      <c r="G504" s="7">
        <v>23181302</v>
      </c>
      <c r="H504" s="7">
        <v>18446002</v>
      </c>
      <c r="I504" s="7">
        <f>OPERATORS[[#This Row],[Total Sales]]-OPERATORS[[#This Row],[Total Payouts]]</f>
        <v>4735300</v>
      </c>
      <c r="J504" s="7">
        <v>2766900</v>
      </c>
      <c r="K504" s="7">
        <v>1710756</v>
      </c>
      <c r="L504" s="8">
        <v>4477657</v>
      </c>
    </row>
    <row r="505" spans="1:13" s="23" customFormat="1" ht="14" x14ac:dyDescent="0.3">
      <c r="A505" s="18">
        <f>ROW(A504)</f>
        <v>504</v>
      </c>
      <c r="B505" s="3" t="s">
        <v>3</v>
      </c>
      <c r="C505" s="20" t="s">
        <v>66</v>
      </c>
      <c r="D505" s="35" t="str">
        <f t="shared" si="18"/>
        <v/>
      </c>
      <c r="E505" s="5">
        <v>45716</v>
      </c>
      <c r="F505" s="6" t="s">
        <v>13</v>
      </c>
      <c r="G505" s="7">
        <v>19990192</v>
      </c>
      <c r="H505" s="7">
        <v>18134324</v>
      </c>
      <c r="I505" s="7">
        <f>OPERATORS[[#This Row],[Total Sales]]-OPERATORS[[#This Row],[Total Payouts]]</f>
        <v>1855868</v>
      </c>
      <c r="J505" s="7"/>
      <c r="K505" s="7">
        <v>828600</v>
      </c>
      <c r="L505" s="8">
        <v>828600</v>
      </c>
    </row>
    <row r="506" spans="1:13" s="23" customFormat="1" ht="14" x14ac:dyDescent="0.3">
      <c r="A506" s="18">
        <v>212</v>
      </c>
      <c r="B506" s="3" t="s">
        <v>12</v>
      </c>
      <c r="C506" s="20" t="s">
        <v>41</v>
      </c>
      <c r="D506" s="35" t="str">
        <f t="shared" si="18"/>
        <v/>
      </c>
      <c r="E506" s="5">
        <v>45716</v>
      </c>
      <c r="F506" s="6" t="s">
        <v>13</v>
      </c>
      <c r="G506" s="7">
        <v>274139985616</v>
      </c>
      <c r="H506" s="7">
        <v>248649943055</v>
      </c>
      <c r="I506" s="7">
        <f>OPERATORS[[#This Row],[Total Sales]]-OPERATORS[[#This Row],[Total Payouts]]</f>
        <v>25490042561</v>
      </c>
      <c r="J506" s="7">
        <v>37297491458</v>
      </c>
      <c r="K506" s="7">
        <v>5854665223</v>
      </c>
      <c r="L506" s="8">
        <v>43152156682</v>
      </c>
    </row>
    <row r="507" spans="1:13" s="23" customFormat="1" ht="14" x14ac:dyDescent="0.3">
      <c r="A507" s="18">
        <f>ROW(A506)</f>
        <v>506</v>
      </c>
      <c r="B507" s="3" t="s">
        <v>3</v>
      </c>
      <c r="C507" s="20" t="s">
        <v>41</v>
      </c>
      <c r="D507" s="35" t="str">
        <f t="shared" si="18"/>
        <v/>
      </c>
      <c r="E507" s="5">
        <v>45716</v>
      </c>
      <c r="F507" s="6" t="s">
        <v>13</v>
      </c>
      <c r="G507" s="7">
        <v>284819278598</v>
      </c>
      <c r="H507" s="7">
        <v>280491025836</v>
      </c>
      <c r="I507" s="7">
        <f>OPERATORS[[#This Row],[Total Sales]]-OPERATORS[[#This Row],[Total Payouts]]</f>
        <v>4328252762</v>
      </c>
      <c r="J507" s="7">
        <v>0</v>
      </c>
      <c r="K507" s="7">
        <v>1298475829</v>
      </c>
      <c r="L507" s="8">
        <v>1298475829</v>
      </c>
    </row>
    <row r="508" spans="1:13" s="23" customFormat="1" ht="14" x14ac:dyDescent="0.3">
      <c r="A508" s="18">
        <f>ROW(A507)</f>
        <v>507</v>
      </c>
      <c r="B508" s="3" t="s">
        <v>3</v>
      </c>
      <c r="C508" s="20" t="s">
        <v>33</v>
      </c>
      <c r="D508" s="35" t="str">
        <f t="shared" si="18"/>
        <v/>
      </c>
      <c r="E508" s="5">
        <v>45716</v>
      </c>
      <c r="F508" s="6" t="s">
        <v>13</v>
      </c>
      <c r="G508" s="7">
        <v>483346000</v>
      </c>
      <c r="H508" s="7">
        <v>470220000</v>
      </c>
      <c r="I508" s="7">
        <f>OPERATORS[[#This Row],[Total Sales]]-OPERATORS[[#This Row],[Total Payouts]]</f>
        <v>13126000</v>
      </c>
      <c r="J508" s="7">
        <v>0</v>
      </c>
      <c r="K508" s="7">
        <v>8220600</v>
      </c>
      <c r="L508" s="8">
        <v>8220600</v>
      </c>
    </row>
    <row r="509" spans="1:13" s="23" customFormat="1" ht="14" x14ac:dyDescent="0.3">
      <c r="A509" s="18">
        <v>215</v>
      </c>
      <c r="B509" s="3" t="s">
        <v>3</v>
      </c>
      <c r="C509" s="20" t="s">
        <v>56</v>
      </c>
      <c r="D509" s="35">
        <v>1000035508</v>
      </c>
      <c r="E509" s="5">
        <v>45716</v>
      </c>
      <c r="F509" s="6" t="s">
        <v>13</v>
      </c>
      <c r="G509" s="7">
        <v>255459890</v>
      </c>
      <c r="H509" s="7">
        <v>0</v>
      </c>
      <c r="I509" s="7">
        <f>OPERATORS[[#This Row],[Total Sales]]-OPERATORS[[#This Row],[Total Payouts]]</f>
        <v>255459890</v>
      </c>
      <c r="J509" s="7"/>
      <c r="K509" s="7">
        <v>88981477</v>
      </c>
      <c r="L509" s="8">
        <f>OPERATORS[[#This Row],[Gaming Tax]]+OPERATORS[[#This Row],[Withholding Tax]]</f>
        <v>88981477</v>
      </c>
    </row>
    <row r="510" spans="1:13" s="23" customFormat="1" ht="14" x14ac:dyDescent="0.3">
      <c r="A510" s="18">
        <f>ROW(A509)</f>
        <v>509</v>
      </c>
      <c r="B510" s="3" t="s">
        <v>12</v>
      </c>
      <c r="C510" s="20" t="s">
        <v>44</v>
      </c>
      <c r="D510" s="35" t="str">
        <f t="shared" ref="D510:D541" si="19">IFERROR(VLOOKUP(C510,OPerators_Range,2,FALSE),"")</f>
        <v/>
      </c>
      <c r="E510" s="5">
        <v>45716</v>
      </c>
      <c r="F510" s="6" t="s">
        <v>13</v>
      </c>
      <c r="G510" s="7" t="s">
        <v>20</v>
      </c>
      <c r="H510" s="7" t="s">
        <v>20</v>
      </c>
      <c r="I510" s="7">
        <v>0</v>
      </c>
      <c r="J510" s="7" t="s">
        <v>20</v>
      </c>
      <c r="K510" s="7" t="s">
        <v>20</v>
      </c>
      <c r="L510" s="8" t="s">
        <v>20</v>
      </c>
    </row>
    <row r="511" spans="1:13" s="23" customFormat="1" ht="14" x14ac:dyDescent="0.3">
      <c r="A511" s="18">
        <v>217</v>
      </c>
      <c r="B511" s="3" t="s">
        <v>3</v>
      </c>
      <c r="C511" s="20" t="s">
        <v>44</v>
      </c>
      <c r="D511" s="35" t="str">
        <f t="shared" si="19"/>
        <v/>
      </c>
      <c r="E511" s="5">
        <v>45716</v>
      </c>
      <c r="F511" s="6" t="s">
        <v>13</v>
      </c>
      <c r="G511" s="7">
        <v>138745992</v>
      </c>
      <c r="H511" s="7">
        <v>129733065</v>
      </c>
      <c r="I511" s="7">
        <f>OPERATORS[[#This Row],[Total Sales]]-OPERATORS[[#This Row],[Total Payouts]]</f>
        <v>9012927</v>
      </c>
      <c r="J511" s="7"/>
      <c r="K511" s="7">
        <v>3055736</v>
      </c>
      <c r="L511" s="8">
        <v>3055736</v>
      </c>
    </row>
    <row r="512" spans="1:13" s="23" customFormat="1" ht="14" x14ac:dyDescent="0.3">
      <c r="A512" s="18">
        <f>ROW(A511)</f>
        <v>511</v>
      </c>
      <c r="B512" s="3" t="s">
        <v>16</v>
      </c>
      <c r="C512" s="20" t="s">
        <v>77</v>
      </c>
      <c r="D512" s="35" t="str">
        <f t="shared" si="19"/>
        <v/>
      </c>
      <c r="E512" s="5">
        <v>45716</v>
      </c>
      <c r="F512" s="6" t="s">
        <v>13</v>
      </c>
      <c r="G512" s="7">
        <v>666195600</v>
      </c>
      <c r="H512" s="7">
        <v>551538200</v>
      </c>
      <c r="I512" s="7">
        <f>OPERATORS[[#This Row],[Total Sales]]-OPERATORS[[#This Row],[Total Payouts]]</f>
        <v>114657400</v>
      </c>
      <c r="J512" s="7">
        <v>0</v>
      </c>
      <c r="K512" s="7">
        <v>34397220</v>
      </c>
      <c r="L512" s="8">
        <v>34397220</v>
      </c>
    </row>
    <row r="513" spans="1:12" s="23" customFormat="1" ht="14" x14ac:dyDescent="0.3">
      <c r="A513" s="18">
        <v>238</v>
      </c>
      <c r="B513" s="3" t="s">
        <v>12</v>
      </c>
      <c r="C513" s="20" t="s">
        <v>72</v>
      </c>
      <c r="D513" s="35" t="str">
        <f t="shared" si="19"/>
        <v/>
      </c>
      <c r="E513" s="5">
        <v>45716</v>
      </c>
      <c r="F513" s="6" t="s">
        <v>13</v>
      </c>
      <c r="G513" s="7">
        <v>29384093</v>
      </c>
      <c r="H513" s="7">
        <v>34652073</v>
      </c>
      <c r="I513" s="7">
        <f>OPERATORS[[#This Row],[Total Sales]]-OPERATORS[[#This Row],[Total Payouts]]</f>
        <v>-5267980</v>
      </c>
      <c r="J513" s="7">
        <v>5197811</v>
      </c>
      <c r="K513" s="7">
        <v>1368164</v>
      </c>
      <c r="L513" s="8">
        <f>OPERATORS[[#This Row],[Withholding Tax]]+OPERATORS[[#This Row],[Gaming Tax]]</f>
        <v>6565975</v>
      </c>
    </row>
    <row r="514" spans="1:12" s="23" customFormat="1" ht="14" x14ac:dyDescent="0.3">
      <c r="A514" s="18">
        <f>ROW(A513)</f>
        <v>513</v>
      </c>
      <c r="B514" s="3" t="s">
        <v>16</v>
      </c>
      <c r="C514" s="20" t="s">
        <v>72</v>
      </c>
      <c r="D514" s="35" t="str">
        <f t="shared" si="19"/>
        <v/>
      </c>
      <c r="E514" s="5">
        <v>45716</v>
      </c>
      <c r="F514" s="6" t="s">
        <v>13</v>
      </c>
      <c r="G514" s="7">
        <v>85428170</v>
      </c>
      <c r="H514" s="7">
        <v>83497432</v>
      </c>
      <c r="I514" s="7">
        <f>OPERATORS[[#This Row],[Total Sales]]-OPERATORS[[#This Row],[Total Payouts]]</f>
        <v>1930738</v>
      </c>
      <c r="J514" s="7">
        <v>0</v>
      </c>
      <c r="K514" s="7">
        <v>1063085</v>
      </c>
      <c r="L514" s="8">
        <f>OPERATORS[[#This Row],[Withholding Tax]]+OPERATORS[[#This Row],[Gaming Tax]]</f>
        <v>1063085</v>
      </c>
    </row>
    <row r="515" spans="1:12" s="23" customFormat="1" ht="14" x14ac:dyDescent="0.3">
      <c r="A515" s="18">
        <f>ROW(A514)</f>
        <v>514</v>
      </c>
      <c r="B515" s="3" t="s">
        <v>12</v>
      </c>
      <c r="C515" s="20" t="s">
        <v>60</v>
      </c>
      <c r="D515" s="35" t="str">
        <f t="shared" si="19"/>
        <v/>
      </c>
      <c r="E515" s="5">
        <v>45716</v>
      </c>
      <c r="F515" s="6" t="s">
        <v>13</v>
      </c>
      <c r="G515" s="7">
        <v>45811513279</v>
      </c>
      <c r="H515" s="7">
        <v>43715276617</v>
      </c>
      <c r="I515" s="7">
        <f>OPERATORS[[#This Row],[Total Sales]]-OPERATORS[[#This Row],[Total Payouts]]</f>
        <v>2096236662</v>
      </c>
      <c r="J515" s="7">
        <v>6557291493</v>
      </c>
      <c r="K515" s="7">
        <v>419247332</v>
      </c>
      <c r="L515" s="8">
        <f>OPERATORS[[#This Row],[Withholding Tax]]+OPERATORS[[#This Row],[Gaming Tax]]</f>
        <v>6976538825</v>
      </c>
    </row>
    <row r="516" spans="1:12" s="23" customFormat="1" ht="14" x14ac:dyDescent="0.3">
      <c r="A516" s="18">
        <v>241</v>
      </c>
      <c r="B516" s="3" t="s">
        <v>16</v>
      </c>
      <c r="C516" s="20" t="s">
        <v>60</v>
      </c>
      <c r="D516" s="35" t="str">
        <f t="shared" si="19"/>
        <v/>
      </c>
      <c r="E516" s="5">
        <v>45716</v>
      </c>
      <c r="F516" s="6" t="s">
        <v>13</v>
      </c>
      <c r="G516" s="7">
        <v>8978656623</v>
      </c>
      <c r="H516" s="7">
        <v>7378575560</v>
      </c>
      <c r="I516" s="7">
        <f>OPERATORS[[#This Row],[Total Sales]]-OPERATORS[[#This Row],[Total Payouts]]</f>
        <v>1600081063</v>
      </c>
      <c r="J516" s="7">
        <v>0</v>
      </c>
      <c r="K516" s="7">
        <v>481477540</v>
      </c>
      <c r="L516" s="8">
        <f>OPERATORS[[#This Row],[Withholding Tax]]+OPERATORS[[#This Row],[Gaming Tax]]</f>
        <v>481477540</v>
      </c>
    </row>
    <row r="517" spans="1:12" s="23" customFormat="1" ht="14" x14ac:dyDescent="0.3">
      <c r="A517" s="18">
        <f>ROW(A516)</f>
        <v>516</v>
      </c>
      <c r="B517" s="3" t="s">
        <v>3</v>
      </c>
      <c r="C517" s="20" t="s">
        <v>42</v>
      </c>
      <c r="D517" s="35" t="str">
        <f t="shared" si="19"/>
        <v/>
      </c>
      <c r="E517" s="5">
        <v>45716</v>
      </c>
      <c r="F517" s="6" t="s">
        <v>13</v>
      </c>
      <c r="G517" s="7">
        <v>161224946</v>
      </c>
      <c r="H517" s="7">
        <v>124385796</v>
      </c>
      <c r="I517" s="7">
        <f>OPERATORS[[#This Row],[Total Sales]]-OPERATORS[[#This Row],[Total Payouts]]</f>
        <v>36839150</v>
      </c>
      <c r="J517" s="7">
        <v>0</v>
      </c>
      <c r="K517" s="7">
        <v>11051745</v>
      </c>
      <c r="L517" s="8">
        <f>OPERATORS[[#This Row],[Withholding Tax]]+OPERATORS[[#This Row],[Gaming Tax]]</f>
        <v>11051745</v>
      </c>
    </row>
    <row r="518" spans="1:12" s="23" customFormat="1" ht="14" x14ac:dyDescent="0.3">
      <c r="A518" s="18">
        <v>262</v>
      </c>
      <c r="B518" s="3" t="s">
        <v>12</v>
      </c>
      <c r="C518" s="20" t="s">
        <v>42</v>
      </c>
      <c r="D518" s="35" t="str">
        <f t="shared" si="19"/>
        <v/>
      </c>
      <c r="E518" s="5">
        <v>45716</v>
      </c>
      <c r="F518" s="6" t="s">
        <v>13</v>
      </c>
      <c r="G518" s="7">
        <v>27049783</v>
      </c>
      <c r="H518" s="7">
        <v>22135185</v>
      </c>
      <c r="I518" s="7">
        <f>OPERATORS[[#This Row],[Total Sales]]-OPERATORS[[#This Row],[Total Payouts]]</f>
        <v>4914598</v>
      </c>
      <c r="J518" s="7">
        <v>3320278</v>
      </c>
      <c r="K518" s="7">
        <v>1054320</v>
      </c>
      <c r="L518" s="8">
        <f>OPERATORS[[#This Row],[Withholding Tax]]+OPERATORS[[#This Row],[Gaming Tax]]</f>
        <v>4374598</v>
      </c>
    </row>
    <row r="519" spans="1:12" s="23" customFormat="1" ht="14" x14ac:dyDescent="0.3">
      <c r="A519" s="18">
        <v>271</v>
      </c>
      <c r="B519" s="3" t="s">
        <v>3</v>
      </c>
      <c r="C519" s="20" t="s">
        <v>54</v>
      </c>
      <c r="D519" s="35" t="str">
        <f t="shared" si="19"/>
        <v/>
      </c>
      <c r="E519" s="5">
        <v>45716</v>
      </c>
      <c r="F519" s="6" t="s">
        <v>13</v>
      </c>
      <c r="G519" s="7">
        <v>150602000</v>
      </c>
      <c r="H519" s="7">
        <v>95218000</v>
      </c>
      <c r="I519" s="7">
        <v>55384000</v>
      </c>
      <c r="J519" s="7"/>
      <c r="K519" s="7">
        <v>16615200</v>
      </c>
      <c r="L519" s="8">
        <f>OPERATORS[[#This Row],[Withholding Tax]]+OPERATORS[[#This Row],[Gaming Tax]]</f>
        <v>16615200</v>
      </c>
    </row>
    <row r="520" spans="1:12" s="23" customFormat="1" ht="14" x14ac:dyDescent="0.3">
      <c r="A520" s="18">
        <f>ROW(A519)</f>
        <v>519</v>
      </c>
      <c r="B520" s="3" t="s">
        <v>16</v>
      </c>
      <c r="C520" s="20" t="s">
        <v>39</v>
      </c>
      <c r="D520" s="35" t="str">
        <f t="shared" si="19"/>
        <v/>
      </c>
      <c r="E520" s="5">
        <v>45716</v>
      </c>
      <c r="F520" s="6" t="s">
        <v>13</v>
      </c>
      <c r="G520" s="7">
        <v>106814723</v>
      </c>
      <c r="H520" s="7">
        <v>106080234</v>
      </c>
      <c r="I520" s="7">
        <f>OPERATORS[[#This Row],[Total Sales]]-OPERATORS[[#This Row],[Total Payouts]]</f>
        <v>734489</v>
      </c>
      <c r="J520" s="7"/>
      <c r="K520" s="7">
        <v>4599560</v>
      </c>
      <c r="L520" s="8">
        <f>OPERATORS[[#This Row],[Withholding Tax]]+OPERATORS[[#This Row],[Gaming Tax]]</f>
        <v>4599560</v>
      </c>
    </row>
    <row r="521" spans="1:12" s="23" customFormat="1" ht="14" x14ac:dyDescent="0.3">
      <c r="A521" s="18">
        <f>ROW(A520)</f>
        <v>520</v>
      </c>
      <c r="B521" s="3" t="s">
        <v>12</v>
      </c>
      <c r="C521" s="20" t="s">
        <v>31</v>
      </c>
      <c r="D521" s="35" t="str">
        <f t="shared" si="19"/>
        <v/>
      </c>
      <c r="E521" s="5">
        <v>45716</v>
      </c>
      <c r="F521" s="6" t="s">
        <v>13</v>
      </c>
      <c r="G521" s="7">
        <v>26954707</v>
      </c>
      <c r="H521" s="7">
        <v>15743959</v>
      </c>
      <c r="I521" s="7">
        <f>OPERATORS[[#This Row],[Total Sales]]-OPERATORS[[#This Row],[Total Payouts]]</f>
        <v>11210748</v>
      </c>
      <c r="J521" s="7">
        <v>2361593.85</v>
      </c>
      <c r="K521" s="7">
        <v>2621175.2000000002</v>
      </c>
      <c r="L521" s="8">
        <f>OPERATORS[[#This Row],[Withholding Tax]]+OPERATORS[[#This Row],[Gaming Tax]]</f>
        <v>4982769.0500000007</v>
      </c>
    </row>
    <row r="522" spans="1:12" s="23" customFormat="1" ht="14" x14ac:dyDescent="0.3">
      <c r="A522" s="18">
        <f>ROW(A521)</f>
        <v>521</v>
      </c>
      <c r="B522" s="3" t="s">
        <v>12</v>
      </c>
      <c r="C522" s="20" t="s">
        <v>32</v>
      </c>
      <c r="D522" s="35" t="str">
        <f t="shared" si="19"/>
        <v/>
      </c>
      <c r="E522" s="5">
        <v>45716</v>
      </c>
      <c r="F522" s="6" t="s">
        <v>13</v>
      </c>
      <c r="G522" s="7">
        <v>468329031</v>
      </c>
      <c r="H522" s="7">
        <v>317435081</v>
      </c>
      <c r="I522" s="7">
        <f>OPERATORS[[#This Row],[Total Sales]]-OPERATORS[[#This Row],[Total Payouts]]</f>
        <v>150893950</v>
      </c>
      <c r="J522" s="7">
        <v>47615262</v>
      </c>
      <c r="K522" s="7">
        <v>30178790</v>
      </c>
      <c r="L522" s="8">
        <f>OPERATORS[[#This Row],[Withholding Tax]]+OPERATORS[[#This Row],[Gaming Tax]]</f>
        <v>77794052</v>
      </c>
    </row>
    <row r="523" spans="1:12" s="23" customFormat="1" ht="14" x14ac:dyDescent="0.3">
      <c r="A523" s="18">
        <v>281</v>
      </c>
      <c r="B523" s="3" t="s">
        <v>3</v>
      </c>
      <c r="C523" s="20" t="s">
        <v>32</v>
      </c>
      <c r="D523" s="35" t="str">
        <f t="shared" si="19"/>
        <v/>
      </c>
      <c r="E523" s="5">
        <v>45716</v>
      </c>
      <c r="F523" s="6" t="s">
        <v>13</v>
      </c>
      <c r="G523" s="7">
        <v>98130529</v>
      </c>
      <c r="H523" s="7">
        <v>67791407</v>
      </c>
      <c r="I523" s="7">
        <f>OPERATORS[[#This Row],[Total Sales]]-OPERATORS[[#This Row],[Total Payouts]]</f>
        <v>30339122</v>
      </c>
      <c r="J523" s="7"/>
      <c r="K523" s="7">
        <v>13916989</v>
      </c>
      <c r="L523" s="8">
        <f>OPERATORS[[#This Row],[Withholding Tax]]+OPERATORS[[#This Row],[Gaming Tax]]</f>
        <v>13916989</v>
      </c>
    </row>
    <row r="524" spans="1:12" s="23" customFormat="1" ht="14" x14ac:dyDescent="0.3">
      <c r="A524" s="18">
        <v>295</v>
      </c>
      <c r="B524" s="3" t="s">
        <v>3</v>
      </c>
      <c r="C524" s="20" t="s">
        <v>53</v>
      </c>
      <c r="D524" s="35" t="str">
        <f t="shared" si="19"/>
        <v/>
      </c>
      <c r="E524" s="5">
        <v>45716</v>
      </c>
      <c r="F524" s="6" t="s">
        <v>13</v>
      </c>
      <c r="G524" s="36">
        <v>408778500</v>
      </c>
      <c r="H524" s="36">
        <v>256507250</v>
      </c>
      <c r="I524" s="7">
        <f>OPERATORS[[#This Row],[Total Sales]]-OPERATORS[[#This Row],[Total Payouts]]</f>
        <v>152271250</v>
      </c>
      <c r="J524" s="36">
        <v>0</v>
      </c>
      <c r="K524" s="36">
        <v>53998350</v>
      </c>
      <c r="L524" s="8">
        <f>OPERATORS[[#This Row],[Withholding Tax]]+OPERATORS[[#This Row],[Gaming Tax]]</f>
        <v>53998350</v>
      </c>
    </row>
    <row r="525" spans="1:12" s="23" customFormat="1" ht="14" x14ac:dyDescent="0.3">
      <c r="A525" s="18">
        <f>ROW(A524)</f>
        <v>524</v>
      </c>
      <c r="B525" s="3" t="s">
        <v>12</v>
      </c>
      <c r="C525" s="20" t="s">
        <v>68</v>
      </c>
      <c r="D525" s="35" t="str">
        <f t="shared" si="19"/>
        <v/>
      </c>
      <c r="E525" s="5">
        <v>45716</v>
      </c>
      <c r="F525" s="6" t="s">
        <v>13</v>
      </c>
      <c r="G525" s="36">
        <v>136401074</v>
      </c>
      <c r="H525" s="36">
        <v>145909699</v>
      </c>
      <c r="I525" s="7">
        <f>OPERATORS[[#This Row],[Total Sales]]-OPERATORS[[#This Row],[Total Payouts]]</f>
        <v>-9508625</v>
      </c>
      <c r="J525" s="36">
        <v>21886455</v>
      </c>
      <c r="K525" s="36">
        <v>4556083</v>
      </c>
      <c r="L525" s="8">
        <f>OPERATORS[[#This Row],[Withholding Tax]]+OPERATORS[[#This Row],[Gaming Tax]]</f>
        <v>26442538</v>
      </c>
    </row>
    <row r="526" spans="1:12" s="23" customFormat="1" ht="14" x14ac:dyDescent="0.3">
      <c r="A526" s="18">
        <v>300</v>
      </c>
      <c r="B526" s="3" t="s">
        <v>3</v>
      </c>
      <c r="C526" s="20" t="s">
        <v>71</v>
      </c>
      <c r="D526" s="35" t="str">
        <f t="shared" si="19"/>
        <v/>
      </c>
      <c r="E526" s="5">
        <v>45716</v>
      </c>
      <c r="F526" s="6" t="s">
        <v>13</v>
      </c>
      <c r="G526" s="7">
        <v>176124336</v>
      </c>
      <c r="H526" s="7">
        <v>66002468</v>
      </c>
      <c r="I526" s="7">
        <f>OPERATORS[[#This Row],[Total Sales]]-OPERATORS[[#This Row],[Total Payouts]]</f>
        <v>110121868</v>
      </c>
      <c r="J526" s="7"/>
      <c r="K526" s="7">
        <v>33036560</v>
      </c>
      <c r="L526" s="8">
        <f>OPERATORS[[#This Row],[Withholding Tax]]+OPERATORS[[#This Row],[Gaming Tax]]</f>
        <v>33036560</v>
      </c>
    </row>
    <row r="527" spans="1:12" s="23" customFormat="1" ht="14" x14ac:dyDescent="0.3">
      <c r="A527" s="18">
        <v>305</v>
      </c>
      <c r="B527" s="3" t="s">
        <v>12</v>
      </c>
      <c r="C527" s="6" t="s">
        <v>54</v>
      </c>
      <c r="D527" s="35" t="str">
        <f t="shared" si="19"/>
        <v/>
      </c>
      <c r="E527" s="5">
        <v>45716</v>
      </c>
      <c r="F527" s="6" t="s">
        <v>13</v>
      </c>
      <c r="G527" s="7">
        <v>235198652</v>
      </c>
      <c r="H527" s="7">
        <v>188181050</v>
      </c>
      <c r="I527" s="7">
        <f>OPERATORS[[#This Row],[Total Sales]]-OPERATORS[[#This Row],[Total Payouts]]</f>
        <v>47017602</v>
      </c>
      <c r="J527" s="7">
        <v>28227158</v>
      </c>
      <c r="K527" s="7">
        <v>14095810</v>
      </c>
      <c r="L527" s="8">
        <f>OPERATORS[[#This Row],[Withholding Tax]]+OPERATORS[[#This Row],[Gaming Tax]]</f>
        <v>42322968</v>
      </c>
    </row>
    <row r="528" spans="1:12" s="23" customFormat="1" ht="14" x14ac:dyDescent="0.3">
      <c r="A528" s="18">
        <v>307</v>
      </c>
      <c r="B528" s="3" t="s">
        <v>17</v>
      </c>
      <c r="C528" s="20" t="s">
        <v>34</v>
      </c>
      <c r="D528" s="35" t="str">
        <f t="shared" si="19"/>
        <v/>
      </c>
      <c r="E528" s="5">
        <v>45716</v>
      </c>
      <c r="F528" s="6" t="s">
        <v>13</v>
      </c>
      <c r="G528" s="7">
        <v>428306000</v>
      </c>
      <c r="H528" s="7">
        <v>396500000</v>
      </c>
      <c r="I528" s="7">
        <f>OPERATORS[[#This Row],[Total Sales]]-OPERATORS[[#This Row],[Total Payouts]]</f>
        <v>31806000</v>
      </c>
      <c r="J528" s="7">
        <v>0</v>
      </c>
      <c r="K528" s="7">
        <v>9541800</v>
      </c>
      <c r="L528" s="8">
        <f>OPERATORS[[#This Row],[Withholding Tax]]+OPERATORS[[#This Row],[Gaming Tax]]</f>
        <v>9541800</v>
      </c>
    </row>
    <row r="529" spans="1:13" s="23" customFormat="1" ht="14" x14ac:dyDescent="0.3">
      <c r="A529" s="18">
        <v>310</v>
      </c>
      <c r="B529" s="3" t="s">
        <v>12</v>
      </c>
      <c r="C529" s="20" t="s">
        <v>74</v>
      </c>
      <c r="D529" s="35" t="str">
        <f t="shared" si="19"/>
        <v/>
      </c>
      <c r="E529" s="45">
        <v>45716</v>
      </c>
      <c r="F529" s="36" t="s">
        <v>13</v>
      </c>
      <c r="G529" s="36">
        <v>140983309</v>
      </c>
      <c r="H529" s="36">
        <v>83951026</v>
      </c>
      <c r="I529" s="7">
        <f>OPERATORS[[#This Row],[Total Sales]]-OPERATORS[[#This Row],[Total Payouts]]</f>
        <v>57032283</v>
      </c>
      <c r="J529" s="36">
        <v>12592654</v>
      </c>
      <c r="K529" s="36">
        <v>12870120</v>
      </c>
      <c r="L529" s="8">
        <f>OPERATORS[[#This Row],[Withholding Tax]]+OPERATORS[[#This Row],[Gaming Tax]]</f>
        <v>25462774</v>
      </c>
    </row>
    <row r="530" spans="1:13" s="23" customFormat="1" ht="14" x14ac:dyDescent="0.3">
      <c r="A530" s="18">
        <f>ROW(A529)</f>
        <v>529</v>
      </c>
      <c r="B530" s="3" t="s">
        <v>12</v>
      </c>
      <c r="C530" s="6" t="s">
        <v>58</v>
      </c>
      <c r="D530" s="35" t="str">
        <f t="shared" si="19"/>
        <v/>
      </c>
      <c r="E530" s="45">
        <v>45716</v>
      </c>
      <c r="F530" s="36" t="s">
        <v>13</v>
      </c>
      <c r="G530" s="36">
        <v>5693688801</v>
      </c>
      <c r="H530" s="36">
        <v>5413294224</v>
      </c>
      <c r="I530" s="7">
        <f>OPERATORS[[#This Row],[Total Sales]]-OPERATORS[[#This Row],[Total Payouts]]</f>
        <v>280394577</v>
      </c>
      <c r="J530" s="36">
        <v>811994134</v>
      </c>
      <c r="K530" s="36">
        <v>56510588</v>
      </c>
      <c r="L530" s="8">
        <v>868504722</v>
      </c>
    </row>
    <row r="531" spans="1:13" s="23" customFormat="1" ht="14" x14ac:dyDescent="0.3">
      <c r="A531" s="18">
        <v>312</v>
      </c>
      <c r="B531" s="3" t="s">
        <v>16</v>
      </c>
      <c r="C531" s="6" t="s">
        <v>58</v>
      </c>
      <c r="D531" s="35" t="str">
        <f t="shared" si="19"/>
        <v/>
      </c>
      <c r="E531" s="45">
        <v>45716</v>
      </c>
      <c r="F531" s="36" t="s">
        <v>13</v>
      </c>
      <c r="G531" s="36">
        <v>4216018380</v>
      </c>
      <c r="H531" s="36">
        <v>4002695702</v>
      </c>
      <c r="I531" s="7">
        <f>OPERATORS[[#This Row],[Total Sales]]-OPERATORS[[#This Row],[Total Payouts]]</f>
        <v>213322678</v>
      </c>
      <c r="J531" s="36"/>
      <c r="K531" s="36">
        <v>63996803</v>
      </c>
      <c r="L531" s="8">
        <v>63996803</v>
      </c>
    </row>
    <row r="532" spans="1:13" s="23" customFormat="1" ht="14" x14ac:dyDescent="0.3">
      <c r="A532" s="18">
        <f>ROW(A531)</f>
        <v>531</v>
      </c>
      <c r="B532" s="3" t="s">
        <v>12</v>
      </c>
      <c r="C532" s="6" t="s">
        <v>35</v>
      </c>
      <c r="D532" s="35" t="str">
        <f t="shared" si="19"/>
        <v/>
      </c>
      <c r="E532" s="45">
        <v>45716</v>
      </c>
      <c r="F532" s="36" t="s">
        <v>13</v>
      </c>
      <c r="G532" s="36">
        <v>1758136000</v>
      </c>
      <c r="H532" s="36">
        <v>1671124000</v>
      </c>
      <c r="I532" s="7">
        <f>OPERATORS[[#This Row],[Total Sales]]-OPERATORS[[#This Row],[Total Payouts]]</f>
        <v>87012000</v>
      </c>
      <c r="J532" s="36">
        <v>250668600</v>
      </c>
      <c r="K532" s="36">
        <v>24400000</v>
      </c>
      <c r="L532" s="37">
        <f>OPERATORS[[#This Row],[Withholding Tax]]+OPERATORS[[#This Row],[Gaming Tax]]</f>
        <v>275068600</v>
      </c>
    </row>
    <row r="533" spans="1:13" s="23" customFormat="1" ht="14" x14ac:dyDescent="0.3">
      <c r="A533" s="18">
        <v>313</v>
      </c>
      <c r="B533" s="3" t="s">
        <v>16</v>
      </c>
      <c r="C533" s="6" t="s">
        <v>35</v>
      </c>
      <c r="D533" s="35" t="str">
        <f t="shared" si="19"/>
        <v/>
      </c>
      <c r="E533" s="45">
        <v>45716</v>
      </c>
      <c r="F533" s="36" t="s">
        <v>13</v>
      </c>
      <c r="G533" s="36">
        <v>1742110210</v>
      </c>
      <c r="H533" s="36">
        <v>1642879210</v>
      </c>
      <c r="I533" s="7">
        <f>OPERATORS[[#This Row],[Total Sales]]-OPERATORS[[#This Row],[Total Payouts]]</f>
        <v>99231000</v>
      </c>
      <c r="J533" s="36"/>
      <c r="K533" s="36">
        <v>30084165</v>
      </c>
      <c r="L533" s="37">
        <f>OPERATORS[[#This Row],[Withholding Tax]]+OPERATORS[[#This Row],[Gaming Tax]]</f>
        <v>30084165</v>
      </c>
    </row>
    <row r="534" spans="1:13" s="23" customFormat="1" ht="14" x14ac:dyDescent="0.3">
      <c r="A534" s="18">
        <f>ROW(A533)</f>
        <v>533</v>
      </c>
      <c r="B534" s="3" t="s">
        <v>16</v>
      </c>
      <c r="C534" s="20" t="s">
        <v>61</v>
      </c>
      <c r="D534" s="35" t="str">
        <f t="shared" si="19"/>
        <v/>
      </c>
      <c r="E534" s="5">
        <v>45716</v>
      </c>
      <c r="F534" s="6" t="s">
        <v>13</v>
      </c>
      <c r="G534" s="7">
        <v>589149000</v>
      </c>
      <c r="H534" s="7">
        <v>499705000</v>
      </c>
      <c r="I534" s="7">
        <f>OPERATORS[[#This Row],[Total Sales]]-OPERATORS[[#This Row],[Total Payouts]]</f>
        <v>89444000</v>
      </c>
      <c r="J534" s="7">
        <v>0</v>
      </c>
      <c r="K534" s="7">
        <v>26833200</v>
      </c>
      <c r="L534" s="8">
        <f>OPERATORS[[#This Row],[Withholding Tax]]+OPERATORS[[#This Row],[Gaming Tax]]</f>
        <v>26833200</v>
      </c>
    </row>
    <row r="535" spans="1:13" s="23" customFormat="1" ht="14" x14ac:dyDescent="0.3">
      <c r="A535" s="18">
        <v>314</v>
      </c>
      <c r="B535" s="3" t="s">
        <v>12</v>
      </c>
      <c r="C535" s="20" t="s">
        <v>61</v>
      </c>
      <c r="D535" s="35" t="str">
        <f t="shared" si="19"/>
        <v/>
      </c>
      <c r="E535" s="5">
        <v>45716</v>
      </c>
      <c r="F535" s="6" t="s">
        <v>13</v>
      </c>
      <c r="G535" s="7">
        <v>951330200</v>
      </c>
      <c r="H535" s="7">
        <v>498092400</v>
      </c>
      <c r="I535" s="7">
        <f>OPERATORS[[#This Row],[Total Sales]]-OPERATORS[[#This Row],[Total Payouts]]</f>
        <v>453237800</v>
      </c>
      <c r="J535" s="7">
        <v>74713860</v>
      </c>
      <c r="K535" s="7">
        <v>90647560</v>
      </c>
      <c r="L535" s="8">
        <f>OPERATORS[[#This Row],[Withholding Tax]]+OPERATORS[[#This Row],[Gaming Tax]]</f>
        <v>165361420</v>
      </c>
    </row>
    <row r="536" spans="1:13" s="23" customFormat="1" ht="14" x14ac:dyDescent="0.3">
      <c r="A536" s="18">
        <f>ROW(A535)</f>
        <v>535</v>
      </c>
      <c r="B536" s="3" t="s">
        <v>3</v>
      </c>
      <c r="C536" s="20" t="s">
        <v>64</v>
      </c>
      <c r="D536" s="35" t="str">
        <f t="shared" si="19"/>
        <v/>
      </c>
      <c r="E536" s="5">
        <v>45716</v>
      </c>
      <c r="F536" s="6" t="s">
        <v>13</v>
      </c>
      <c r="G536" s="7">
        <v>543040977</v>
      </c>
      <c r="H536" s="7">
        <v>349293907</v>
      </c>
      <c r="I536" s="7">
        <f>OPERATORS[[#This Row],[Total Sales]]-OPERATORS[[#This Row],[Total Payouts]]</f>
        <v>193747070</v>
      </c>
      <c r="J536" s="7">
        <v>0</v>
      </c>
      <c r="K536" s="7">
        <v>58124121</v>
      </c>
      <c r="L536" s="8">
        <f>OPERATORS[[#This Row],[Withholding Tax]]+OPERATORS[[#This Row],[Gaming Tax]]</f>
        <v>58124121</v>
      </c>
    </row>
    <row r="537" spans="1:13" s="23" customFormat="1" ht="14" x14ac:dyDescent="0.3">
      <c r="A537" s="18">
        <v>322</v>
      </c>
      <c r="B537" s="3" t="s">
        <v>12</v>
      </c>
      <c r="C537" s="20" t="s">
        <v>64</v>
      </c>
      <c r="D537" s="35" t="str">
        <f t="shared" si="19"/>
        <v/>
      </c>
      <c r="E537" s="5">
        <v>45716</v>
      </c>
      <c r="F537" s="6" t="s">
        <v>13</v>
      </c>
      <c r="G537" s="7">
        <v>277146232</v>
      </c>
      <c r="H537" s="7">
        <v>167415449</v>
      </c>
      <c r="I537" s="7">
        <f>OPERATORS[[#This Row],[Total Sales]]-OPERATORS[[#This Row],[Total Payouts]]</f>
        <v>109730783</v>
      </c>
      <c r="J537" s="7">
        <v>25112317</v>
      </c>
      <c r="K537" s="7">
        <v>22454621</v>
      </c>
      <c r="L537" s="8">
        <f>OPERATORS[[#This Row],[Withholding Tax]]+OPERATORS[[#This Row],[Gaming Tax]]</f>
        <v>47566938</v>
      </c>
      <c r="M537" s="23" t="s">
        <v>26</v>
      </c>
    </row>
    <row r="538" spans="1:13" s="23" customFormat="1" ht="14" x14ac:dyDescent="0.3">
      <c r="A538" s="18" t="e">
        <f>ROW(#REF!)</f>
        <v>#REF!</v>
      </c>
      <c r="B538" s="3" t="s">
        <v>17</v>
      </c>
      <c r="C538" s="20" t="s">
        <v>62</v>
      </c>
      <c r="D538" s="35" t="str">
        <f t="shared" si="19"/>
        <v/>
      </c>
      <c r="E538" s="5">
        <v>45716</v>
      </c>
      <c r="F538" s="6" t="s">
        <v>13</v>
      </c>
      <c r="G538" s="7">
        <v>1030280000</v>
      </c>
      <c r="H538" s="7">
        <v>627165059</v>
      </c>
      <c r="I538" s="7">
        <f>OPERATORS[[#This Row],[Total Sales]]-OPERATORS[[#This Row],[Total Payouts]]</f>
        <v>403114941</v>
      </c>
      <c r="J538" s="7"/>
      <c r="K538" s="7">
        <v>120934482</v>
      </c>
      <c r="L538" s="8">
        <f>OPERATORS[[#This Row],[Withholding Tax]]+OPERATORS[[#This Row],[Gaming Tax]]</f>
        <v>120934482</v>
      </c>
    </row>
    <row r="539" spans="1:13" s="23" customFormat="1" ht="14" x14ac:dyDescent="0.3">
      <c r="A539" s="18">
        <f>ROW(A538)</f>
        <v>538</v>
      </c>
      <c r="B539" s="3" t="s">
        <v>12</v>
      </c>
      <c r="C539" s="20" t="s">
        <v>55</v>
      </c>
      <c r="D539" s="35" t="str">
        <f t="shared" si="19"/>
        <v/>
      </c>
      <c r="E539" s="5">
        <v>45716</v>
      </c>
      <c r="F539" s="20" t="s">
        <v>13</v>
      </c>
      <c r="G539" s="7">
        <v>173260232</v>
      </c>
      <c r="H539" s="7">
        <v>125264136</v>
      </c>
      <c r="I539" s="7">
        <v>47996096</v>
      </c>
      <c r="J539" s="7">
        <v>18789620</v>
      </c>
      <c r="K539" s="7">
        <v>9725686</v>
      </c>
      <c r="L539" s="8">
        <v>28515306</v>
      </c>
    </row>
    <row r="540" spans="1:13" s="23" customFormat="1" ht="14" x14ac:dyDescent="0.3">
      <c r="A540" s="18">
        <f>ROW(A539)</f>
        <v>539</v>
      </c>
      <c r="B540" s="3" t="s">
        <v>12</v>
      </c>
      <c r="C540" s="20" t="s">
        <v>67</v>
      </c>
      <c r="D540" s="35" t="str">
        <f t="shared" si="19"/>
        <v/>
      </c>
      <c r="E540" s="5">
        <v>45716</v>
      </c>
      <c r="F540" s="20" t="s">
        <v>13</v>
      </c>
      <c r="G540" s="7">
        <v>384811380</v>
      </c>
      <c r="H540" s="7">
        <v>218041981</v>
      </c>
      <c r="I540" s="7">
        <v>166769399</v>
      </c>
      <c r="J540" s="7">
        <v>32706297</v>
      </c>
      <c r="K540" s="7">
        <v>33353880</v>
      </c>
      <c r="L540" s="8">
        <f>OPERATORS[[#This Row],[Withholding Tax]]+OPERATORS[[#This Row],[Gaming Tax]]</f>
        <v>66060177</v>
      </c>
    </row>
    <row r="541" spans="1:13" s="23" customFormat="1" ht="14" x14ac:dyDescent="0.3">
      <c r="A541" s="18">
        <f>ROW(A540)</f>
        <v>540</v>
      </c>
      <c r="B541" s="3" t="s">
        <v>17</v>
      </c>
      <c r="C541" s="20" t="s">
        <v>62</v>
      </c>
      <c r="D541" s="20" t="str">
        <f t="shared" si="19"/>
        <v/>
      </c>
      <c r="E541" s="5">
        <v>45716</v>
      </c>
      <c r="F541" s="20" t="s">
        <v>13</v>
      </c>
      <c r="G541" s="7">
        <v>123714000</v>
      </c>
      <c r="H541" s="7">
        <v>25177000</v>
      </c>
      <c r="I541" s="7">
        <v>98537000</v>
      </c>
      <c r="J541" s="7"/>
      <c r="K541" s="7">
        <v>31738500</v>
      </c>
      <c r="L541" s="8">
        <f>OPERATORS[[#This Row],[Withholding Tax]]+OPERATORS[[#This Row],[Gaming Tax]]</f>
        <v>31738500</v>
      </c>
    </row>
    <row r="542" spans="1:13" s="23" customFormat="1" ht="14" x14ac:dyDescent="0.3">
      <c r="A542" s="18">
        <f>ROW(A540)</f>
        <v>540</v>
      </c>
      <c r="B542" s="3" t="s">
        <v>16</v>
      </c>
      <c r="C542" s="20" t="s">
        <v>59</v>
      </c>
      <c r="D542" s="35" t="str">
        <f t="shared" ref="D542:D561" si="20">IFERROR(VLOOKUP(C542,OPerators_Range,2,FALSE),"")</f>
        <v/>
      </c>
      <c r="E542" s="5">
        <v>45716</v>
      </c>
      <c r="F542" s="20" t="s">
        <v>13</v>
      </c>
      <c r="G542" s="7">
        <v>56681500</v>
      </c>
      <c r="H542" s="7">
        <v>46573275</v>
      </c>
      <c r="I542" s="7">
        <v>10108225</v>
      </c>
      <c r="J542" s="7">
        <v>0</v>
      </c>
      <c r="K542" s="7">
        <v>3032468</v>
      </c>
      <c r="L542" s="8">
        <f>OPERATORS[[#This Row],[Withholding Tax]]+OPERATORS[[#This Row],[Gaming Tax]]</f>
        <v>3032468</v>
      </c>
    </row>
    <row r="543" spans="1:13" s="23" customFormat="1" ht="14" x14ac:dyDescent="0.3">
      <c r="A543" s="18">
        <f>ROW(A542)</f>
        <v>542</v>
      </c>
      <c r="B543" s="3" t="s">
        <v>12</v>
      </c>
      <c r="C543" s="20" t="s">
        <v>28</v>
      </c>
      <c r="D543" s="35" t="str">
        <f t="shared" si="20"/>
        <v/>
      </c>
      <c r="E543" s="5">
        <v>45747</v>
      </c>
      <c r="F543" s="6" t="s">
        <v>13</v>
      </c>
      <c r="G543" s="7">
        <v>1046822048</v>
      </c>
      <c r="H543" s="7">
        <v>825567464</v>
      </c>
      <c r="I543" s="7">
        <f>OPERATORS[[#This Row],[Total Sales]]-OPERATORS[[#This Row],[Total Payouts]]</f>
        <v>221254584</v>
      </c>
      <c r="J543" s="7">
        <v>123835120</v>
      </c>
      <c r="K543" s="7">
        <v>44250917</v>
      </c>
      <c r="L543" s="8">
        <v>168086036</v>
      </c>
    </row>
    <row r="544" spans="1:13" s="23" customFormat="1" ht="14" x14ac:dyDescent="0.3">
      <c r="A544" s="18">
        <v>218</v>
      </c>
      <c r="B544" s="3" t="s">
        <v>3</v>
      </c>
      <c r="C544" s="20" t="s">
        <v>28</v>
      </c>
      <c r="D544" s="35" t="str">
        <f t="shared" si="20"/>
        <v/>
      </c>
      <c r="E544" s="5">
        <v>45747</v>
      </c>
      <c r="F544" s="6" t="s">
        <v>13</v>
      </c>
      <c r="G544" s="7">
        <v>4271940664</v>
      </c>
      <c r="H544" s="7">
        <v>4028675710</v>
      </c>
      <c r="I544" s="7">
        <f>OPERATORS[[#This Row],[Total Sales]]-OPERATORS[[#This Row],[Total Payouts]]</f>
        <v>243264954</v>
      </c>
      <c r="J544" s="7"/>
      <c r="K544" s="7">
        <v>99020650</v>
      </c>
      <c r="L544" s="8">
        <v>99020650</v>
      </c>
    </row>
    <row r="545" spans="1:13" s="23" customFormat="1" ht="14" x14ac:dyDescent="0.3">
      <c r="A545" s="18">
        <f>ROW(A544)</f>
        <v>544</v>
      </c>
      <c r="B545" s="3" t="s">
        <v>12</v>
      </c>
      <c r="C545" s="20" t="s">
        <v>37</v>
      </c>
      <c r="D545" s="35" t="str">
        <f t="shared" si="20"/>
        <v/>
      </c>
      <c r="E545" s="5">
        <v>45747</v>
      </c>
      <c r="F545" s="6" t="s">
        <v>13</v>
      </c>
      <c r="G545" s="7">
        <v>1083042872</v>
      </c>
      <c r="H545" s="7">
        <v>927447000</v>
      </c>
      <c r="I545" s="7">
        <f>OPERATORS[[#This Row],[Total Sales]]-OPERATORS[[#This Row],[Total Payouts]]</f>
        <v>155595872</v>
      </c>
      <c r="J545" s="7">
        <v>135671180</v>
      </c>
      <c r="K545" s="7">
        <v>41422177</v>
      </c>
      <c r="L545" s="8">
        <v>177093357</v>
      </c>
    </row>
    <row r="546" spans="1:13" s="23" customFormat="1" ht="14" x14ac:dyDescent="0.3">
      <c r="A546" s="18">
        <v>219</v>
      </c>
      <c r="B546" s="3" t="s">
        <v>12</v>
      </c>
      <c r="C546" s="20" t="s">
        <v>50</v>
      </c>
      <c r="D546" s="35" t="str">
        <f t="shared" si="20"/>
        <v/>
      </c>
      <c r="E546" s="5">
        <v>45747</v>
      </c>
      <c r="F546" s="6" t="s">
        <v>13</v>
      </c>
      <c r="G546" s="7">
        <v>143823884</v>
      </c>
      <c r="H546" s="7">
        <v>133265407</v>
      </c>
      <c r="I546" s="7">
        <f>OPERATORS[[#This Row],[Total Sales]]-OPERATORS[[#This Row],[Total Payouts]]</f>
        <v>10558477</v>
      </c>
      <c r="J546" s="7">
        <v>19989811</v>
      </c>
      <c r="K546" s="7">
        <v>4910821</v>
      </c>
      <c r="L546" s="8">
        <v>24900632</v>
      </c>
    </row>
    <row r="547" spans="1:13" s="23" customFormat="1" ht="14" x14ac:dyDescent="0.3">
      <c r="A547" s="18">
        <f>ROW(A546)</f>
        <v>546</v>
      </c>
      <c r="B547" s="3" t="s">
        <v>12</v>
      </c>
      <c r="C547" s="20" t="s">
        <v>50</v>
      </c>
      <c r="D547" s="35" t="str">
        <f t="shared" si="20"/>
        <v/>
      </c>
      <c r="E547" s="5">
        <v>45747</v>
      </c>
      <c r="F547" s="6" t="s">
        <v>13</v>
      </c>
      <c r="G547" s="7">
        <v>684687982</v>
      </c>
      <c r="H547" s="7">
        <v>663863023</v>
      </c>
      <c r="I547" s="7">
        <f>OPERATORS[[#This Row],[Total Sales]]-OPERATORS[[#This Row],[Total Payouts]]</f>
        <v>20824959</v>
      </c>
      <c r="J547" s="7"/>
      <c r="K547" s="7">
        <v>9717181</v>
      </c>
      <c r="L547" s="8">
        <v>9717181</v>
      </c>
    </row>
    <row r="548" spans="1:13" ht="14" x14ac:dyDescent="0.3">
      <c r="A548" s="18">
        <v>220</v>
      </c>
      <c r="B548" s="3" t="s">
        <v>16</v>
      </c>
      <c r="C548" s="20" t="s">
        <v>38</v>
      </c>
      <c r="D548" s="35" t="str">
        <f t="shared" si="20"/>
        <v/>
      </c>
      <c r="E548" s="5">
        <v>45747</v>
      </c>
      <c r="F548" s="6" t="s">
        <v>13</v>
      </c>
      <c r="G548" s="7">
        <v>139005818</v>
      </c>
      <c r="H548" s="7">
        <v>96382740</v>
      </c>
      <c r="I548" s="7">
        <f>OPERATORS[[#This Row],[Total Sales]]-OPERATORS[[#This Row],[Total Payouts]]</f>
        <v>42623078</v>
      </c>
      <c r="J548" s="7"/>
      <c r="K548" s="7">
        <v>12786923</v>
      </c>
      <c r="L548" s="8">
        <v>12786923</v>
      </c>
      <c r="M548" s="41"/>
    </row>
    <row r="549" spans="1:13" ht="14" x14ac:dyDescent="0.3">
      <c r="A549" s="18">
        <f>ROW(A548)</f>
        <v>548</v>
      </c>
      <c r="B549" s="3" t="s">
        <v>3</v>
      </c>
      <c r="C549" s="20" t="s">
        <v>61</v>
      </c>
      <c r="D549" s="35" t="str">
        <f t="shared" si="20"/>
        <v/>
      </c>
      <c r="E549" s="5">
        <v>45747</v>
      </c>
      <c r="F549" s="6" t="s">
        <v>13</v>
      </c>
      <c r="G549" s="7">
        <v>6483414730</v>
      </c>
      <c r="H549" s="7">
        <v>6729776696</v>
      </c>
      <c r="I549" s="7">
        <f>OPERATORS[[#This Row],[Total Sales]]-OPERATORS[[#This Row],[Total Payouts]]</f>
        <v>-246361966</v>
      </c>
      <c r="J549" s="7"/>
      <c r="K549" s="7">
        <v>134718226</v>
      </c>
      <c r="L549" s="8">
        <v>134718226</v>
      </c>
      <c r="M549" s="41"/>
    </row>
    <row r="550" spans="1:13" ht="14" x14ac:dyDescent="0.3">
      <c r="A550" s="18">
        <v>221</v>
      </c>
      <c r="B550" s="3" t="s">
        <v>12</v>
      </c>
      <c r="C550" s="20" t="s">
        <v>70</v>
      </c>
      <c r="D550" s="35" t="str">
        <f t="shared" si="20"/>
        <v/>
      </c>
      <c r="E550" s="5">
        <v>45747</v>
      </c>
      <c r="F550" s="6" t="s">
        <v>13</v>
      </c>
      <c r="G550" s="7">
        <v>6006498839</v>
      </c>
      <c r="H550" s="7">
        <v>5172743348</v>
      </c>
      <c r="I550" s="7">
        <f>OPERATORS[[#This Row],[Total Sales]]-OPERATORS[[#This Row],[Total Payouts]]</f>
        <v>833755491</v>
      </c>
      <c r="J550" s="7">
        <v>775911502</v>
      </c>
      <c r="K550" s="7">
        <v>183072766</v>
      </c>
      <c r="L550" s="8">
        <v>958984268</v>
      </c>
      <c r="M550" s="41"/>
    </row>
    <row r="551" spans="1:13" ht="14" x14ac:dyDescent="0.3">
      <c r="A551" s="18">
        <f>ROW(A550)</f>
        <v>550</v>
      </c>
      <c r="B551" s="3" t="s">
        <v>3</v>
      </c>
      <c r="C551" s="20" t="s">
        <v>70</v>
      </c>
      <c r="D551" s="35" t="str">
        <f t="shared" si="20"/>
        <v/>
      </c>
      <c r="E551" s="5">
        <v>45747</v>
      </c>
      <c r="F551" s="6" t="s">
        <v>13</v>
      </c>
      <c r="G551" s="7">
        <v>6029135288</v>
      </c>
      <c r="H551" s="7">
        <v>5787498717</v>
      </c>
      <c r="I551" s="7">
        <f>OPERATORS[[#This Row],[Total Sales]]-OPERATORS[[#This Row],[Total Payouts]]</f>
        <v>241636571</v>
      </c>
      <c r="J551" s="7"/>
      <c r="K551" s="7">
        <v>75327437</v>
      </c>
      <c r="L551" s="8">
        <v>75327437</v>
      </c>
      <c r="M551" s="41"/>
    </row>
    <row r="552" spans="1:13" ht="14" x14ac:dyDescent="0.3">
      <c r="A552" s="18">
        <v>222</v>
      </c>
      <c r="B552" s="3" t="s">
        <v>12</v>
      </c>
      <c r="C552" s="20" t="s">
        <v>73</v>
      </c>
      <c r="D552" s="35" t="str">
        <f t="shared" si="20"/>
        <v/>
      </c>
      <c r="E552" s="5">
        <v>45747</v>
      </c>
      <c r="F552" s="6" t="s">
        <v>13</v>
      </c>
      <c r="G552" s="7">
        <v>0</v>
      </c>
      <c r="H552" s="7">
        <v>0</v>
      </c>
      <c r="I552" s="7">
        <f>OPERATORS[[#This Row],[Total Sales]]-OPERATORS[[#This Row],[Total Payouts]]</f>
        <v>0</v>
      </c>
      <c r="J552" s="7">
        <v>0</v>
      </c>
      <c r="K552" s="49">
        <v>0</v>
      </c>
      <c r="L552" s="8">
        <f>OPERATORS[[#This Row],[Gaming Tax]]+OPERATORS[[#This Row],[Withholding Tax]]</f>
        <v>0</v>
      </c>
      <c r="M552" s="41"/>
    </row>
    <row r="553" spans="1:13" ht="14" x14ac:dyDescent="0.3">
      <c r="A553" s="18">
        <f>ROW(A552)</f>
        <v>552</v>
      </c>
      <c r="B553" s="3" t="s">
        <v>3</v>
      </c>
      <c r="C553" s="20" t="s">
        <v>73</v>
      </c>
      <c r="D553" s="35" t="str">
        <f t="shared" si="20"/>
        <v/>
      </c>
      <c r="E553" s="5">
        <v>45747</v>
      </c>
      <c r="F553" s="6" t="s">
        <v>13</v>
      </c>
      <c r="G553" s="7">
        <v>0</v>
      </c>
      <c r="H553" s="7">
        <v>0</v>
      </c>
      <c r="I553" s="7">
        <f>OPERATORS[[#This Row],[Total Sales]]-OPERATORS[[#This Row],[Total Payouts]]</f>
        <v>0</v>
      </c>
      <c r="J553" s="7"/>
      <c r="K553" s="7">
        <v>0</v>
      </c>
      <c r="L553" s="8">
        <v>0</v>
      </c>
      <c r="M553" s="41"/>
    </row>
    <row r="554" spans="1:13" ht="14" x14ac:dyDescent="0.3">
      <c r="A554" s="18">
        <v>223</v>
      </c>
      <c r="B554" s="3" t="s">
        <v>12</v>
      </c>
      <c r="C554" s="20" t="s">
        <v>65</v>
      </c>
      <c r="D554" s="35" t="str">
        <f t="shared" si="20"/>
        <v/>
      </c>
      <c r="E554" s="5">
        <v>45747</v>
      </c>
      <c r="F554" s="6" t="s">
        <v>13</v>
      </c>
      <c r="G554" s="7">
        <v>0</v>
      </c>
      <c r="H554" s="7">
        <v>0</v>
      </c>
      <c r="I554" s="7">
        <f>OPERATORS[[#This Row],[Total Sales]]-OPERATORS[[#This Row],[Total Payouts]]</f>
        <v>0</v>
      </c>
      <c r="J554" s="7">
        <v>0</v>
      </c>
      <c r="K554" s="7">
        <v>0</v>
      </c>
      <c r="L554" s="8">
        <v>0</v>
      </c>
      <c r="M554" s="41"/>
    </row>
    <row r="555" spans="1:13" ht="14" x14ac:dyDescent="0.3">
      <c r="A555" s="18">
        <f>ROW(A554)</f>
        <v>554</v>
      </c>
      <c r="B555" s="3" t="s">
        <v>3</v>
      </c>
      <c r="C555" s="20" t="s">
        <v>65</v>
      </c>
      <c r="D555" s="35" t="str">
        <f t="shared" si="20"/>
        <v/>
      </c>
      <c r="E555" s="5">
        <v>45747</v>
      </c>
      <c r="F555" s="6" t="s">
        <v>13</v>
      </c>
      <c r="G555" s="7">
        <v>0</v>
      </c>
      <c r="H555" s="7">
        <v>0</v>
      </c>
      <c r="I555" s="7">
        <f>OPERATORS[[#This Row],[Total Sales]]-OPERATORS[[#This Row],[Total Payouts]]</f>
        <v>0</v>
      </c>
      <c r="J555" s="7"/>
      <c r="K555" s="7">
        <v>0</v>
      </c>
      <c r="L555" s="8">
        <v>0</v>
      </c>
      <c r="M555" s="41"/>
    </row>
    <row r="556" spans="1:13" ht="14" x14ac:dyDescent="0.3">
      <c r="A556" s="18">
        <v>224</v>
      </c>
      <c r="B556" s="3" t="s">
        <v>16</v>
      </c>
      <c r="C556" s="20" t="s">
        <v>69</v>
      </c>
      <c r="D556" s="35" t="str">
        <f t="shared" si="20"/>
        <v/>
      </c>
      <c r="E556" s="5">
        <v>45747</v>
      </c>
      <c r="F556" s="6" t="s">
        <v>13</v>
      </c>
      <c r="G556" s="7">
        <v>576527600</v>
      </c>
      <c r="H556" s="7">
        <v>482787536</v>
      </c>
      <c r="I556" s="7">
        <f>OPERATORS[[#This Row],[Total Sales]]-OPERATORS[[#This Row],[Total Payouts]]</f>
        <v>93740064</v>
      </c>
      <c r="J556" s="7">
        <v>0</v>
      </c>
      <c r="K556" s="7">
        <v>30711408</v>
      </c>
      <c r="L556" s="8">
        <v>30711408</v>
      </c>
      <c r="M556" s="41"/>
    </row>
    <row r="557" spans="1:13" ht="14" x14ac:dyDescent="0.3">
      <c r="A557" s="18">
        <f>ROW(A556)</f>
        <v>556</v>
      </c>
      <c r="B557" s="3" t="s">
        <v>12</v>
      </c>
      <c r="C557" s="20" t="s">
        <v>61</v>
      </c>
      <c r="D557" s="35" t="str">
        <f t="shared" si="20"/>
        <v/>
      </c>
      <c r="E557" s="5">
        <v>45747</v>
      </c>
      <c r="F557" s="6" t="s">
        <v>13</v>
      </c>
      <c r="G557" s="7">
        <v>947557100</v>
      </c>
      <c r="H557" s="7">
        <v>517267100</v>
      </c>
      <c r="I557" s="7">
        <f>OPERATORS[[#This Row],[Total Sales]]-OPERATORS[[#This Row],[Total Payouts]]</f>
        <v>430290000</v>
      </c>
      <c r="J557" s="7">
        <v>77590065</v>
      </c>
      <c r="K557" s="7">
        <v>86058000</v>
      </c>
      <c r="L557" s="8">
        <v>163648065</v>
      </c>
      <c r="M557" s="41"/>
    </row>
    <row r="558" spans="1:13" ht="14" x14ac:dyDescent="0.3">
      <c r="A558" s="18">
        <v>225</v>
      </c>
      <c r="B558" s="3" t="s">
        <v>16</v>
      </c>
      <c r="C558" s="20" t="s">
        <v>61</v>
      </c>
      <c r="D558" s="35" t="str">
        <f t="shared" si="20"/>
        <v/>
      </c>
      <c r="E558" s="5">
        <v>45747</v>
      </c>
      <c r="F558" s="6" t="s">
        <v>13</v>
      </c>
      <c r="G558" s="7">
        <v>654981000</v>
      </c>
      <c r="H558" s="7">
        <v>567647000</v>
      </c>
      <c r="I558" s="7">
        <f>OPERATORS[[#This Row],[Total Sales]]-OPERATORS[[#This Row],[Total Payouts]]</f>
        <v>87334000</v>
      </c>
      <c r="J558" s="7">
        <v>0</v>
      </c>
      <c r="K558" s="7">
        <v>26200200</v>
      </c>
      <c r="L558" s="7">
        <v>26200200</v>
      </c>
      <c r="M558" s="41"/>
    </row>
    <row r="559" spans="1:13" ht="14" x14ac:dyDescent="0.3">
      <c r="A559" s="18">
        <f>ROW(A558)</f>
        <v>558</v>
      </c>
      <c r="B559" s="3" t="s">
        <v>3</v>
      </c>
      <c r="C559" s="20" t="s">
        <v>51</v>
      </c>
      <c r="D559" s="35" t="str">
        <f t="shared" si="20"/>
        <v/>
      </c>
      <c r="E559" s="5">
        <v>45747</v>
      </c>
      <c r="F559" s="6" t="s">
        <v>13</v>
      </c>
      <c r="G559" s="7">
        <v>1314288770</v>
      </c>
      <c r="H559" s="7">
        <v>23951040</v>
      </c>
      <c r="I559" s="7">
        <f>OPERATORS[[#This Row],[Total Sales]]-OPERATORS[[#This Row],[Total Payouts]]</f>
        <v>1290337730</v>
      </c>
      <c r="J559" s="7"/>
      <c r="K559" s="7">
        <v>401471943</v>
      </c>
      <c r="L559" s="7">
        <v>401471943</v>
      </c>
      <c r="M559" s="41"/>
    </row>
    <row r="560" spans="1:13" ht="14" x14ac:dyDescent="0.3">
      <c r="A560" s="18">
        <v>226</v>
      </c>
      <c r="B560" s="3" t="s">
        <v>16</v>
      </c>
      <c r="C560" s="20" t="s">
        <v>77</v>
      </c>
      <c r="D560" s="35" t="str">
        <f t="shared" si="20"/>
        <v/>
      </c>
      <c r="E560" s="5">
        <v>45747</v>
      </c>
      <c r="F560" s="6" t="s">
        <v>13</v>
      </c>
      <c r="G560" s="7">
        <v>795849300</v>
      </c>
      <c r="H560" s="7">
        <v>650001590</v>
      </c>
      <c r="I560" s="7">
        <f>OPERATORS[[#This Row],[Total Sales]]-OPERATORS[[#This Row],[Total Payouts]]</f>
        <v>145847710</v>
      </c>
      <c r="J560" s="7">
        <v>0</v>
      </c>
      <c r="K560" s="7">
        <v>43902702</v>
      </c>
      <c r="L560" s="8">
        <v>43902702</v>
      </c>
      <c r="M560" s="41"/>
    </row>
    <row r="561" spans="1:13" ht="14" x14ac:dyDescent="0.3">
      <c r="A561" s="18">
        <v>227</v>
      </c>
      <c r="B561" s="3" t="s">
        <v>17</v>
      </c>
      <c r="C561" s="20" t="s">
        <v>34</v>
      </c>
      <c r="D561" s="35" t="str">
        <f t="shared" si="20"/>
        <v/>
      </c>
      <c r="E561" s="5">
        <v>45747</v>
      </c>
      <c r="F561" s="6" t="s">
        <v>13</v>
      </c>
      <c r="G561" s="36">
        <v>450866000</v>
      </c>
      <c r="H561" s="36">
        <v>415500000</v>
      </c>
      <c r="I561" s="7">
        <f>OPERATORS[[#This Row],[Total Sales]]-OPERATORS[[#This Row],[Total Payouts]]</f>
        <v>35366000</v>
      </c>
      <c r="J561" s="36">
        <v>0</v>
      </c>
      <c r="K561" s="7">
        <v>10609800</v>
      </c>
      <c r="L561" s="8">
        <v>10609800</v>
      </c>
      <c r="M561" s="41"/>
    </row>
    <row r="562" spans="1:13" ht="14" x14ac:dyDescent="0.3">
      <c r="A562" s="18">
        <f>ROW(A561)</f>
        <v>561</v>
      </c>
      <c r="B562" s="3" t="s">
        <v>3</v>
      </c>
      <c r="C562" s="20" t="s">
        <v>56</v>
      </c>
      <c r="D562" s="35">
        <v>1000035508</v>
      </c>
      <c r="E562" s="5">
        <v>45747</v>
      </c>
      <c r="F562" s="6" t="s">
        <v>13</v>
      </c>
      <c r="G562" s="7">
        <v>315555971</v>
      </c>
      <c r="H562" s="7">
        <v>0</v>
      </c>
      <c r="I562" s="7">
        <f>OPERATORS[[#This Row],[Total Sales]]-OPERATORS[[#This Row],[Total Payouts]]</f>
        <v>315555971</v>
      </c>
      <c r="J562" s="7">
        <v>0</v>
      </c>
      <c r="K562" s="7">
        <v>115454366</v>
      </c>
      <c r="L562" s="8">
        <v>115454366</v>
      </c>
      <c r="M562" s="41"/>
    </row>
    <row r="563" spans="1:13" ht="14" x14ac:dyDescent="0.3">
      <c r="A563" s="18">
        <v>228</v>
      </c>
      <c r="B563" s="3" t="s">
        <v>3</v>
      </c>
      <c r="C563" s="20" t="s">
        <v>66</v>
      </c>
      <c r="D563" s="35" t="str">
        <f t="shared" ref="D563:D594" si="21">IFERROR(VLOOKUP(C563,OPerators_Range,2,FALSE),"")</f>
        <v/>
      </c>
      <c r="E563" s="5">
        <v>45747</v>
      </c>
      <c r="F563" s="6" t="s">
        <v>13</v>
      </c>
      <c r="G563" s="36">
        <v>15663608</v>
      </c>
      <c r="H563" s="36">
        <v>14571793</v>
      </c>
      <c r="I563" s="7">
        <f>OPERATORS[[#This Row],[Total Sales]]-OPERATORS[[#This Row],[Total Payouts]]</f>
        <v>1091815</v>
      </c>
      <c r="J563" s="36"/>
      <c r="K563" s="36">
        <v>633132</v>
      </c>
      <c r="L563" s="8">
        <v>633132</v>
      </c>
      <c r="M563" s="41"/>
    </row>
    <row r="564" spans="1:13" ht="14" x14ac:dyDescent="0.3">
      <c r="A564" s="18">
        <f>ROW(A563)</f>
        <v>563</v>
      </c>
      <c r="B564" s="3" t="s">
        <v>12</v>
      </c>
      <c r="C564" s="20" t="s">
        <v>27</v>
      </c>
      <c r="D564" s="35" t="str">
        <f t="shared" si="21"/>
        <v/>
      </c>
      <c r="E564" s="5">
        <v>45747</v>
      </c>
      <c r="F564" s="6" t="s">
        <v>13</v>
      </c>
      <c r="G564" s="36">
        <v>0</v>
      </c>
      <c r="H564" s="36">
        <v>0</v>
      </c>
      <c r="I564" s="7">
        <f>OPERATORS[[#This Row],[Total Sales]]-OPERATORS[[#This Row],[Total Payouts]]</f>
        <v>0</v>
      </c>
      <c r="J564" s="36">
        <v>0</v>
      </c>
      <c r="K564" s="7">
        <v>0</v>
      </c>
      <c r="L564" s="8"/>
      <c r="M564" s="41"/>
    </row>
    <row r="565" spans="1:13" ht="14" x14ac:dyDescent="0.3">
      <c r="A565" s="18">
        <v>229</v>
      </c>
      <c r="B565" s="3" t="s">
        <v>16</v>
      </c>
      <c r="C565" s="20" t="s">
        <v>27</v>
      </c>
      <c r="D565" s="35" t="str">
        <f t="shared" si="21"/>
        <v/>
      </c>
      <c r="E565" s="5">
        <v>45747</v>
      </c>
      <c r="F565" s="6" t="s">
        <v>13</v>
      </c>
      <c r="G565" s="7">
        <v>190993221</v>
      </c>
      <c r="H565" s="7">
        <v>172174683</v>
      </c>
      <c r="I565" s="7">
        <f>OPERATORS[[#This Row],[Total Sales]]-OPERATORS[[#This Row],[Total Payouts]]</f>
        <v>18818538</v>
      </c>
      <c r="J565" s="7"/>
      <c r="K565" s="7">
        <v>5645562</v>
      </c>
      <c r="L565" s="8">
        <v>5645562</v>
      </c>
      <c r="M565" s="41"/>
    </row>
    <row r="566" spans="1:13" ht="14" x14ac:dyDescent="0.3">
      <c r="A566" s="18">
        <f>ROW(A565)</f>
        <v>565</v>
      </c>
      <c r="B566" s="3" t="s">
        <v>16</v>
      </c>
      <c r="C566" s="20" t="s">
        <v>45</v>
      </c>
      <c r="D566" s="35" t="str">
        <f t="shared" si="21"/>
        <v/>
      </c>
      <c r="E566" s="5">
        <v>45747</v>
      </c>
      <c r="F566" s="6" t="s">
        <v>13</v>
      </c>
      <c r="G566" s="7">
        <v>6679332214</v>
      </c>
      <c r="H566" s="7">
        <v>5934897460</v>
      </c>
      <c r="I566" s="7">
        <f>OPERATORS[[#This Row],[Total Sales]]-OPERATORS[[#This Row],[Total Payouts]]</f>
        <v>744434754</v>
      </c>
      <c r="J566" s="7"/>
      <c r="K566" s="7">
        <v>223330426</v>
      </c>
      <c r="L566" s="8">
        <v>223330426</v>
      </c>
      <c r="M566" s="41"/>
    </row>
    <row r="567" spans="1:13" ht="14" x14ac:dyDescent="0.3">
      <c r="A567" s="18">
        <v>230</v>
      </c>
      <c r="B567" s="3" t="s">
        <v>12</v>
      </c>
      <c r="C567" s="20" t="s">
        <v>45</v>
      </c>
      <c r="D567" s="35" t="str">
        <f t="shared" si="21"/>
        <v/>
      </c>
      <c r="E567" s="5">
        <v>45747</v>
      </c>
      <c r="F567" s="6" t="s">
        <v>13</v>
      </c>
      <c r="G567" s="7">
        <v>3501114292</v>
      </c>
      <c r="H567" s="7">
        <v>2456315219</v>
      </c>
      <c r="I567" s="7">
        <f>OPERATORS[[#This Row],[Total Sales]]-OPERATORS[[#This Row],[Total Payouts]]</f>
        <v>1044799073</v>
      </c>
      <c r="J567" s="7">
        <v>368447283</v>
      </c>
      <c r="K567" s="7">
        <v>212763353</v>
      </c>
      <c r="L567" s="8">
        <v>581210636</v>
      </c>
      <c r="M567" s="41"/>
    </row>
    <row r="568" spans="1:13" ht="14" x14ac:dyDescent="0.3">
      <c r="A568" s="18">
        <f>ROW(A567)</f>
        <v>567</v>
      </c>
      <c r="B568" s="3" t="s">
        <v>12</v>
      </c>
      <c r="C568" s="20" t="s">
        <v>41</v>
      </c>
      <c r="D568" s="35" t="str">
        <f t="shared" si="21"/>
        <v/>
      </c>
      <c r="E568" s="5">
        <v>45747</v>
      </c>
      <c r="F568" s="6" t="s">
        <v>13</v>
      </c>
      <c r="G568" s="7">
        <v>284837547751</v>
      </c>
      <c r="H568" s="7">
        <v>264628798050</v>
      </c>
      <c r="I568" s="7">
        <f>OPERATORS[[#This Row],[Total Sales]]-OPERATORS[[#This Row],[Total Payouts]]</f>
        <v>20208749701</v>
      </c>
      <c r="J568" s="7">
        <v>39694319708</v>
      </c>
      <c r="K568" s="7">
        <v>4891570755</v>
      </c>
      <c r="L568" s="8">
        <f>OPERATORS[[#This Row],[Gaming Tax]]+OPERATORS[[#This Row],[Withholding Tax]]</f>
        <v>44585890463</v>
      </c>
      <c r="M568" s="41"/>
    </row>
    <row r="569" spans="1:13" ht="14" x14ac:dyDescent="0.3">
      <c r="A569" s="18">
        <v>231</v>
      </c>
      <c r="B569" s="3" t="s">
        <v>3</v>
      </c>
      <c r="C569" s="20" t="s">
        <v>41</v>
      </c>
      <c r="D569" s="35" t="str">
        <f t="shared" si="21"/>
        <v/>
      </c>
      <c r="E569" s="5">
        <v>45747</v>
      </c>
      <c r="F569" s="6" t="s">
        <v>13</v>
      </c>
      <c r="G569" s="7">
        <v>356678010918</v>
      </c>
      <c r="H569" s="7">
        <v>351327840754</v>
      </c>
      <c r="I569" s="7">
        <f>OPERATORS[[#This Row],[Total Sales]]-OPERATORS[[#This Row],[Total Payouts]]</f>
        <v>5350170164</v>
      </c>
      <c r="J569" s="7">
        <v>0</v>
      </c>
      <c r="K569" s="7">
        <v>1070034033</v>
      </c>
      <c r="L569" s="8">
        <f>OPERATORS[[#This Row],[Gaming Tax]]+OPERATORS[[#This Row],[Withholding Tax]]</f>
        <v>1070034033</v>
      </c>
      <c r="M569" s="41"/>
    </row>
    <row r="570" spans="1:13" ht="14" x14ac:dyDescent="0.3">
      <c r="A570" s="18">
        <f>ROW(A569)</f>
        <v>569</v>
      </c>
      <c r="B570" s="3" t="s">
        <v>12</v>
      </c>
      <c r="C570" s="20" t="s">
        <v>36</v>
      </c>
      <c r="D570" s="35" t="str">
        <f t="shared" si="21"/>
        <v/>
      </c>
      <c r="E570" s="5">
        <v>45747</v>
      </c>
      <c r="F570" s="6" t="s">
        <v>13</v>
      </c>
      <c r="G570" s="7">
        <v>29617948</v>
      </c>
      <c r="H570" s="7">
        <v>26386241</v>
      </c>
      <c r="I570" s="7">
        <f>OPERATORS[[#This Row],[Total Sales]]-OPERATORS[[#This Row],[Total Payouts]]</f>
        <v>3231707</v>
      </c>
      <c r="J570" s="7">
        <v>3957936</v>
      </c>
      <c r="K570" s="7">
        <v>1402023</v>
      </c>
      <c r="L570" s="8">
        <v>5359959</v>
      </c>
      <c r="M570" s="41"/>
    </row>
    <row r="571" spans="1:13" ht="14" x14ac:dyDescent="0.3">
      <c r="A571" s="18">
        <v>232</v>
      </c>
      <c r="B571" s="3" t="s">
        <v>16</v>
      </c>
      <c r="C571" s="20" t="s">
        <v>36</v>
      </c>
      <c r="D571" s="35" t="str">
        <f t="shared" si="21"/>
        <v/>
      </c>
      <c r="E571" s="5">
        <v>45747</v>
      </c>
      <c r="F571" s="6" t="s">
        <v>13</v>
      </c>
      <c r="G571" s="7">
        <v>213782250</v>
      </c>
      <c r="H571" s="7">
        <v>180203088</v>
      </c>
      <c r="I571" s="7">
        <f>OPERATORS[[#This Row],[Total Sales]]-OPERATORS[[#This Row],[Total Payouts]]</f>
        <v>33579162</v>
      </c>
      <c r="J571" s="7">
        <v>0</v>
      </c>
      <c r="K571" s="7">
        <v>10073749</v>
      </c>
      <c r="L571" s="8">
        <v>10073749</v>
      </c>
      <c r="M571" s="41"/>
    </row>
    <row r="572" spans="1:13" ht="14" x14ac:dyDescent="0.3">
      <c r="A572" s="18">
        <f>ROW(A571)</f>
        <v>571</v>
      </c>
      <c r="B572" s="3" t="s">
        <v>3</v>
      </c>
      <c r="C572" s="20" t="s">
        <v>48</v>
      </c>
      <c r="D572" s="35" t="str">
        <f t="shared" si="21"/>
        <v/>
      </c>
      <c r="E572" s="5">
        <v>45747</v>
      </c>
      <c r="F572" s="6" t="s">
        <v>13</v>
      </c>
      <c r="G572" s="7">
        <v>1161559500</v>
      </c>
      <c r="H572" s="7">
        <v>145062880</v>
      </c>
      <c r="I572" s="7">
        <f>OPERATORS[[#This Row],[Total Sales]]-OPERATORS[[#This Row],[Total Payouts]]</f>
        <v>1016496620</v>
      </c>
      <c r="J572" s="7">
        <v>0</v>
      </c>
      <c r="K572" s="7">
        <v>334586250</v>
      </c>
      <c r="L572" s="8">
        <f>OPERATORS[[#This Row],[Withholding Tax]]+OPERATORS[[#This Row],[Gaming Tax]]</f>
        <v>334586250</v>
      </c>
      <c r="M572" s="41"/>
    </row>
    <row r="573" spans="1:13" ht="14" x14ac:dyDescent="0.3">
      <c r="A573" s="18">
        <v>233</v>
      </c>
      <c r="B573" s="3" t="s">
        <v>12</v>
      </c>
      <c r="C573" s="20" t="s">
        <v>46</v>
      </c>
      <c r="D573" s="35" t="str">
        <f t="shared" si="21"/>
        <v/>
      </c>
      <c r="E573" s="5">
        <v>45747</v>
      </c>
      <c r="F573" s="6" t="s">
        <v>13</v>
      </c>
      <c r="G573" s="7">
        <v>369869749</v>
      </c>
      <c r="H573" s="7">
        <v>245325179</v>
      </c>
      <c r="I573" s="7">
        <f>OPERATORS[[#This Row],[Total Sales]]-OPERATORS[[#This Row],[Total Payouts]]</f>
        <v>124544570</v>
      </c>
      <c r="J573" s="7">
        <v>36798777</v>
      </c>
      <c r="K573" s="7">
        <v>25076478</v>
      </c>
      <c r="L573" s="8">
        <f>OPERATORS[[#This Row],[Withholding Tax]]+OPERATORS[[#This Row],[Gaming Tax]]</f>
        <v>61875255</v>
      </c>
      <c r="M573" s="41"/>
    </row>
    <row r="574" spans="1:13" ht="14" x14ac:dyDescent="0.3">
      <c r="A574" s="18">
        <f>ROW(A573)</f>
        <v>573</v>
      </c>
      <c r="B574" s="3" t="s">
        <v>16</v>
      </c>
      <c r="C574" s="20" t="s">
        <v>46</v>
      </c>
      <c r="D574" s="35" t="str">
        <f t="shared" si="21"/>
        <v/>
      </c>
      <c r="E574" s="5">
        <v>45747</v>
      </c>
      <c r="F574" s="6" t="s">
        <v>13</v>
      </c>
      <c r="G574" s="7">
        <v>2499841636</v>
      </c>
      <c r="H574" s="7">
        <v>2295455335</v>
      </c>
      <c r="I574" s="7">
        <f>OPERATORS[[#This Row],[Total Sales]]-OPERATORS[[#This Row],[Total Payouts]]</f>
        <v>204386301</v>
      </c>
      <c r="J574" s="7">
        <v>0</v>
      </c>
      <c r="K574" s="7">
        <v>61315890</v>
      </c>
      <c r="L574" s="8">
        <f>OPERATORS[[#This Row],[Gaming Tax]]</f>
        <v>61315890</v>
      </c>
      <c r="M574" s="41"/>
    </row>
    <row r="575" spans="1:13" ht="14" x14ac:dyDescent="0.3">
      <c r="A575" s="18">
        <v>239</v>
      </c>
      <c r="B575" s="3" t="s">
        <v>12</v>
      </c>
      <c r="C575" s="20" t="s">
        <v>72</v>
      </c>
      <c r="D575" s="35" t="str">
        <f t="shared" si="21"/>
        <v/>
      </c>
      <c r="E575" s="5">
        <v>45747</v>
      </c>
      <c r="F575" s="6" t="s">
        <v>13</v>
      </c>
      <c r="G575" s="7">
        <v>28314289</v>
      </c>
      <c r="H575" s="7">
        <v>21938973</v>
      </c>
      <c r="I575" s="7">
        <f>OPERATORS[[#This Row],[Total Sales]]-OPERATORS[[#This Row],[Total Payouts]]</f>
        <v>6375316</v>
      </c>
      <c r="J575" s="7">
        <v>3290846</v>
      </c>
      <c r="K575" s="7">
        <v>1656314</v>
      </c>
      <c r="L575" s="8">
        <f>OPERATORS[[#This Row],[Withholding Tax]]+OPERATORS[[#This Row],[Gaming Tax]]</f>
        <v>4947160</v>
      </c>
      <c r="M575" s="41"/>
    </row>
    <row r="576" spans="1:13" ht="14" x14ac:dyDescent="0.3">
      <c r="A576" s="18">
        <f>ROW(A575)</f>
        <v>575</v>
      </c>
      <c r="B576" s="3" t="s">
        <v>16</v>
      </c>
      <c r="C576" s="20" t="s">
        <v>72</v>
      </c>
      <c r="D576" s="35" t="str">
        <f t="shared" si="21"/>
        <v/>
      </c>
      <c r="E576" s="5">
        <v>45747</v>
      </c>
      <c r="F576" s="6" t="s">
        <v>13</v>
      </c>
      <c r="G576" s="7">
        <v>70430149</v>
      </c>
      <c r="H576" s="7">
        <v>66746432</v>
      </c>
      <c r="I576" s="7">
        <f>OPERATORS[[#This Row],[Total Sales]]-OPERATORS[[#This Row],[Total Payouts]]</f>
        <v>3683717</v>
      </c>
      <c r="J576" s="7">
        <v>0</v>
      </c>
      <c r="K576" s="7">
        <v>1334423</v>
      </c>
      <c r="L576" s="8">
        <f>OPERATORS[[#This Row],[Withholding Tax]]+OPERATORS[[#This Row],[Gaming Tax]]</f>
        <v>1334423</v>
      </c>
      <c r="M576" s="41"/>
    </row>
    <row r="577" spans="1:13" ht="14" x14ac:dyDescent="0.3">
      <c r="A577" s="18">
        <v>240</v>
      </c>
      <c r="B577" s="3" t="s">
        <v>12</v>
      </c>
      <c r="C577" s="20" t="s">
        <v>30</v>
      </c>
      <c r="D577" s="35" t="str">
        <f t="shared" si="21"/>
        <v/>
      </c>
      <c r="E577" s="5">
        <v>45747</v>
      </c>
      <c r="F577" s="6" t="s">
        <v>13</v>
      </c>
      <c r="G577" s="7">
        <v>161421764</v>
      </c>
      <c r="H577" s="7">
        <v>120120995</v>
      </c>
      <c r="I577" s="7">
        <f>OPERATORS[[#This Row],[Total Sales]]-OPERATORS[[#This Row],[Total Payouts]]</f>
        <v>41300769</v>
      </c>
      <c r="J577" s="7">
        <v>18018149</v>
      </c>
      <c r="K577" s="7">
        <v>9002907</v>
      </c>
      <c r="L577" s="8">
        <f>OPERATORS[[#This Row],[Withholding Tax]]+OPERATORS[[#This Row],[Gaming Tax]]</f>
        <v>27021056</v>
      </c>
      <c r="M577" s="41"/>
    </row>
    <row r="578" spans="1:13" ht="14" x14ac:dyDescent="0.3">
      <c r="A578" s="18">
        <v>242</v>
      </c>
      <c r="B578" s="3" t="s">
        <v>3</v>
      </c>
      <c r="C578" s="20" t="s">
        <v>33</v>
      </c>
      <c r="D578" s="35" t="str">
        <f t="shared" si="21"/>
        <v/>
      </c>
      <c r="E578" s="5">
        <v>45747</v>
      </c>
      <c r="F578" s="6" t="s">
        <v>13</v>
      </c>
      <c r="G578" s="7">
        <v>629647000</v>
      </c>
      <c r="H578" s="7">
        <v>615517000</v>
      </c>
      <c r="I578" s="7">
        <f>OPERATORS[[#This Row],[Total Sales]]-OPERATORS[[#This Row],[Total Payouts]]</f>
        <v>14130000</v>
      </c>
      <c r="J578" s="7">
        <v>0</v>
      </c>
      <c r="K578" s="7">
        <v>8272200</v>
      </c>
      <c r="L578" s="8">
        <v>8272200</v>
      </c>
      <c r="M578" s="41"/>
    </row>
    <row r="579" spans="1:13" ht="14" x14ac:dyDescent="0.3">
      <c r="A579" s="18">
        <f>ROW(A578)</f>
        <v>578</v>
      </c>
      <c r="B579" s="3" t="s">
        <v>3</v>
      </c>
      <c r="C579" s="20" t="s">
        <v>42</v>
      </c>
      <c r="D579" s="35" t="str">
        <f t="shared" si="21"/>
        <v/>
      </c>
      <c r="E579" s="5">
        <v>45747</v>
      </c>
      <c r="F579" s="6" t="s">
        <v>13</v>
      </c>
      <c r="G579" s="7">
        <v>122449090</v>
      </c>
      <c r="H579" s="7">
        <v>95198079</v>
      </c>
      <c r="I579" s="7">
        <f>OPERATORS[[#This Row],[Total Sales]]-OPERATORS[[#This Row],[Total Payouts]]</f>
        <v>27251011</v>
      </c>
      <c r="J579" s="7">
        <v>0</v>
      </c>
      <c r="K579" s="7">
        <v>8175303</v>
      </c>
      <c r="L579" s="8">
        <f>OPERATORS[[#This Row],[Withholding Tax]]+OPERATORS[[#This Row],[Gaming Tax]]</f>
        <v>8175303</v>
      </c>
      <c r="M579" s="41"/>
    </row>
    <row r="580" spans="1:13" ht="14" x14ac:dyDescent="0.3">
      <c r="A580" s="18">
        <v>263</v>
      </c>
      <c r="B580" s="3" t="s">
        <v>12</v>
      </c>
      <c r="C580" s="20" t="s">
        <v>42</v>
      </c>
      <c r="D580" s="35" t="str">
        <f t="shared" si="21"/>
        <v/>
      </c>
      <c r="E580" s="5">
        <v>45747</v>
      </c>
      <c r="F580" s="6" t="s">
        <v>13</v>
      </c>
      <c r="G580" s="7">
        <v>43755027</v>
      </c>
      <c r="H580" s="7">
        <v>36954368</v>
      </c>
      <c r="I580" s="7">
        <f>OPERATORS[[#This Row],[Total Sales]]-OPERATORS[[#This Row],[Total Payouts]]</f>
        <v>6800659</v>
      </c>
      <c r="J580" s="7">
        <v>5543155</v>
      </c>
      <c r="K580" s="7">
        <v>1367610</v>
      </c>
      <c r="L580" s="8">
        <f>OPERATORS[[#This Row],[Withholding Tax]]+OPERATORS[[#This Row],[Gaming Tax]]</f>
        <v>6910765</v>
      </c>
      <c r="M580" s="41"/>
    </row>
    <row r="581" spans="1:13" ht="14" x14ac:dyDescent="0.3">
      <c r="A581" s="18">
        <v>265</v>
      </c>
      <c r="B581" s="3" t="s">
        <v>3</v>
      </c>
      <c r="C581" s="20" t="s">
        <v>44</v>
      </c>
      <c r="D581" s="35" t="str">
        <f t="shared" si="21"/>
        <v/>
      </c>
      <c r="E581" s="5">
        <v>45747</v>
      </c>
      <c r="F581" s="6" t="s">
        <v>13</v>
      </c>
      <c r="G581" s="7">
        <v>52459706</v>
      </c>
      <c r="H581" s="7">
        <v>48164170</v>
      </c>
      <c r="I581" s="7">
        <f>OPERATORS[[#This Row],[Total Sales]]-OPERATORS[[#This Row],[Total Payouts]]</f>
        <v>4295536</v>
      </c>
      <c r="J581" s="7"/>
      <c r="K581" s="7">
        <v>1437363</v>
      </c>
      <c r="L581" s="8">
        <f>OPERATORS[[#This Row],[Withholding Tax]]+OPERATORS[[#This Row],[Gaming Tax]]</f>
        <v>1437363</v>
      </c>
      <c r="M581" s="41"/>
    </row>
    <row r="582" spans="1:13" ht="14" x14ac:dyDescent="0.3">
      <c r="A582" s="18">
        <f>ROW(A581)</f>
        <v>581</v>
      </c>
      <c r="B582" s="3" t="s">
        <v>12</v>
      </c>
      <c r="C582" s="20" t="s">
        <v>78</v>
      </c>
      <c r="D582" s="35" t="str">
        <f t="shared" si="21"/>
        <v/>
      </c>
      <c r="E582" s="5">
        <v>45747</v>
      </c>
      <c r="F582" s="6" t="s">
        <v>13</v>
      </c>
      <c r="G582" s="7">
        <v>155138216</v>
      </c>
      <c r="H582" s="7">
        <v>130666552</v>
      </c>
      <c r="I582" s="7">
        <f>OPERATORS[[#This Row],[Total Sales]]-OPERATORS[[#This Row],[Total Payouts]]</f>
        <v>24471664</v>
      </c>
      <c r="J582" s="7">
        <v>19599983</v>
      </c>
      <c r="K582" s="7">
        <v>5953682</v>
      </c>
      <c r="L582" s="8">
        <v>25553665</v>
      </c>
      <c r="M582" s="41"/>
    </row>
    <row r="583" spans="1:13" ht="14" x14ac:dyDescent="0.3">
      <c r="A583" s="18">
        <f>ROW(A582)</f>
        <v>582</v>
      </c>
      <c r="B583" s="3" t="s">
        <v>3</v>
      </c>
      <c r="C583" s="20" t="s">
        <v>54</v>
      </c>
      <c r="D583" s="35" t="str">
        <f t="shared" si="21"/>
        <v/>
      </c>
      <c r="E583" s="5">
        <v>45747</v>
      </c>
      <c r="F583" s="6" t="s">
        <v>13</v>
      </c>
      <c r="G583" s="7">
        <v>147750000</v>
      </c>
      <c r="H583" s="7">
        <v>87393500</v>
      </c>
      <c r="I583" s="7">
        <v>60356500</v>
      </c>
      <c r="J583" s="7"/>
      <c r="K583" s="7">
        <v>18106950</v>
      </c>
      <c r="L583" s="8">
        <f>OPERATORS[[#This Row],[Withholding Tax]]+OPERATORS[[#This Row],[Gaming Tax]]</f>
        <v>18106950</v>
      </c>
      <c r="M583" s="41"/>
    </row>
    <row r="584" spans="1:13" ht="14" x14ac:dyDescent="0.3">
      <c r="A584" s="18">
        <v>259</v>
      </c>
      <c r="B584" s="19" t="s">
        <v>3</v>
      </c>
      <c r="C584" s="20" t="s">
        <v>52</v>
      </c>
      <c r="D584" s="20" t="str">
        <f t="shared" si="21"/>
        <v/>
      </c>
      <c r="E584" s="5">
        <v>45747</v>
      </c>
      <c r="F584" s="20" t="s">
        <v>13</v>
      </c>
      <c r="G584" s="7">
        <v>42370000</v>
      </c>
      <c r="H584" s="7">
        <v>9920000</v>
      </c>
      <c r="I584" s="7">
        <f>OPERATORS[[#This Row],[Total Sales]]-OPERATORS[[#This Row],[Total Payouts]]</f>
        <v>32450000</v>
      </c>
      <c r="J584" s="7">
        <v>0</v>
      </c>
      <c r="K584" s="7">
        <v>9735000</v>
      </c>
      <c r="L584" s="8">
        <v>9735000</v>
      </c>
      <c r="M584" s="41"/>
    </row>
    <row r="585" spans="1:13" ht="14" x14ac:dyDescent="0.3">
      <c r="A585" s="18">
        <v>278</v>
      </c>
      <c r="B585" s="3" t="s">
        <v>12</v>
      </c>
      <c r="C585" s="20" t="s">
        <v>31</v>
      </c>
      <c r="D585" s="35" t="str">
        <f t="shared" si="21"/>
        <v/>
      </c>
      <c r="E585" s="5">
        <v>45747</v>
      </c>
      <c r="F585" s="6" t="s">
        <v>13</v>
      </c>
      <c r="G585" s="7">
        <v>21285167</v>
      </c>
      <c r="H585" s="7">
        <v>16257100</v>
      </c>
      <c r="I585" s="7">
        <f>OPERATORS[[#This Row],[Total Sales]]-OPERATORS[[#This Row],[Total Payouts]]</f>
        <v>5028067</v>
      </c>
      <c r="J585" s="7">
        <v>2438565</v>
      </c>
      <c r="K585" s="7">
        <v>1367430.2</v>
      </c>
      <c r="L585" s="8">
        <f>OPERATORS[[#This Row],[Withholding Tax]]+OPERATORS[[#This Row],[Gaming Tax]]</f>
        <v>3805995.2</v>
      </c>
      <c r="M585" s="41"/>
    </row>
    <row r="586" spans="1:13" ht="14" x14ac:dyDescent="0.3">
      <c r="A586" s="18">
        <f>ROW(A585)</f>
        <v>585</v>
      </c>
      <c r="B586" s="3" t="s">
        <v>12</v>
      </c>
      <c r="C586" s="20" t="s">
        <v>32</v>
      </c>
      <c r="D586" s="35" t="str">
        <f t="shared" si="21"/>
        <v/>
      </c>
      <c r="E586" s="5">
        <v>45747</v>
      </c>
      <c r="F586" s="6" t="s">
        <v>13</v>
      </c>
      <c r="G586" s="7">
        <v>541637442</v>
      </c>
      <c r="H586" s="7">
        <v>382952774</v>
      </c>
      <c r="I586" s="7">
        <f>OPERATORS[[#This Row],[Total Sales]]-OPERATORS[[#This Row],[Total Payouts]]</f>
        <v>158684668</v>
      </c>
      <c r="J586" s="7">
        <v>57442916</v>
      </c>
      <c r="K586" s="7">
        <v>31942837</v>
      </c>
      <c r="L586" s="8">
        <f>OPERATORS[[#This Row],[Withholding Tax]]+OPERATORS[[#This Row],[Gaming Tax]]</f>
        <v>89385753</v>
      </c>
      <c r="M586" s="41"/>
    </row>
    <row r="587" spans="1:13" ht="14" x14ac:dyDescent="0.3">
      <c r="A587" s="18">
        <v>282</v>
      </c>
      <c r="B587" s="3" t="s">
        <v>3</v>
      </c>
      <c r="C587" s="20" t="s">
        <v>32</v>
      </c>
      <c r="D587" s="35" t="str">
        <f t="shared" si="21"/>
        <v/>
      </c>
      <c r="E587" s="5">
        <v>45747</v>
      </c>
      <c r="F587" s="6" t="s">
        <v>13</v>
      </c>
      <c r="G587" s="7">
        <v>116663595</v>
      </c>
      <c r="H587" s="7">
        <v>81176299</v>
      </c>
      <c r="I587" s="7">
        <f>OPERATORS[[#This Row],[Total Sales]]-OPERATORS[[#This Row],[Total Payouts]]</f>
        <v>35487296</v>
      </c>
      <c r="J587" s="7"/>
      <c r="K587" s="7">
        <v>17152538</v>
      </c>
      <c r="L587" s="8">
        <f>OPERATORS[[#This Row],[Withholding Tax]]+OPERATORS[[#This Row],[Gaming Tax]]</f>
        <v>17152538</v>
      </c>
      <c r="M587" s="41"/>
    </row>
    <row r="588" spans="1:13" ht="14" x14ac:dyDescent="0.3">
      <c r="A588" s="18">
        <v>284</v>
      </c>
      <c r="B588" s="3" t="s">
        <v>3</v>
      </c>
      <c r="C588" s="20" t="s">
        <v>57</v>
      </c>
      <c r="D588" s="35" t="str">
        <f t="shared" si="21"/>
        <v/>
      </c>
      <c r="E588" s="5">
        <v>45747</v>
      </c>
      <c r="F588" s="6" t="s">
        <v>13</v>
      </c>
      <c r="G588" s="7">
        <v>484516500</v>
      </c>
      <c r="H588" s="7">
        <v>342223296</v>
      </c>
      <c r="I588" s="7">
        <f>OPERATORS[[#This Row],[Total Sales]]-OPERATORS[[#This Row],[Total Payouts]]</f>
        <v>142293204</v>
      </c>
      <c r="J588" s="7">
        <v>0</v>
      </c>
      <c r="K588" s="7">
        <v>42687961</v>
      </c>
      <c r="L588" s="8">
        <f>OPERATORS[[#This Row],[Withholding Tax]]+OPERATORS[[#This Row],[Gaming Tax]]</f>
        <v>42687961</v>
      </c>
      <c r="M588" s="41"/>
    </row>
    <row r="589" spans="1:13" ht="14" x14ac:dyDescent="0.3">
      <c r="A589" s="18">
        <v>286</v>
      </c>
      <c r="B589" s="3" t="s">
        <v>12</v>
      </c>
      <c r="C589" s="20" t="s">
        <v>60</v>
      </c>
      <c r="D589" s="35" t="str">
        <f t="shared" si="21"/>
        <v/>
      </c>
      <c r="E589" s="5">
        <v>45747</v>
      </c>
      <c r="F589" s="6" t="s">
        <v>13</v>
      </c>
      <c r="G589" s="7">
        <v>11549543259</v>
      </c>
      <c r="H589" s="7">
        <v>10045518262</v>
      </c>
      <c r="I589" s="7">
        <f>OPERATORS[[#This Row],[Total Sales]]-OPERATORS[[#This Row],[Total Payouts]]</f>
        <v>1504024997</v>
      </c>
      <c r="J589" s="7">
        <v>1506827739</v>
      </c>
      <c r="K589" s="7">
        <v>349057817</v>
      </c>
      <c r="L589" s="8">
        <f>OPERATORS[[#This Row],[Withholding Tax]]+OPERATORS[[#This Row],[Gaming Tax]]</f>
        <v>1855885556</v>
      </c>
      <c r="M589" s="41"/>
    </row>
    <row r="590" spans="1:13" ht="14" x14ac:dyDescent="0.3">
      <c r="A590" s="18">
        <f>ROW(A589)</f>
        <v>589</v>
      </c>
      <c r="B590" s="3" t="s">
        <v>16</v>
      </c>
      <c r="C590" s="20" t="s">
        <v>60</v>
      </c>
      <c r="D590" s="35" t="str">
        <f t="shared" si="21"/>
        <v/>
      </c>
      <c r="E590" s="5">
        <v>45747</v>
      </c>
      <c r="F590" s="6" t="s">
        <v>13</v>
      </c>
      <c r="G590" s="7">
        <v>69415398620</v>
      </c>
      <c r="H590" s="7">
        <v>66397462632</v>
      </c>
      <c r="I590" s="7">
        <f>OPERATORS[[#This Row],[Total Sales]]-OPERATORS[[#This Row],[Total Payouts]]</f>
        <v>3017935988</v>
      </c>
      <c r="J590" s="7"/>
      <c r="K590" s="7">
        <v>910358266</v>
      </c>
      <c r="L590" s="8">
        <f>OPERATORS[[#This Row],[Withholding Tax]]+OPERATORS[[#This Row],[Gaming Tax]]</f>
        <v>910358266</v>
      </c>
      <c r="M590" s="41"/>
    </row>
    <row r="591" spans="1:13" ht="14" x14ac:dyDescent="0.3">
      <c r="A591" s="18" t="e">
        <f>ROW(#REF!)</f>
        <v>#REF!</v>
      </c>
      <c r="B591" s="3" t="s">
        <v>16</v>
      </c>
      <c r="C591" s="20" t="s">
        <v>39</v>
      </c>
      <c r="D591" s="35" t="str">
        <f t="shared" si="21"/>
        <v/>
      </c>
      <c r="E591" s="5">
        <v>45747</v>
      </c>
      <c r="F591" s="6" t="s">
        <v>13</v>
      </c>
      <c r="G591" s="7">
        <v>106768816</v>
      </c>
      <c r="H591" s="7">
        <v>101499530</v>
      </c>
      <c r="I591" s="7">
        <f>OPERATORS[[#This Row],[Total Sales]]-OPERATORS[[#This Row],[Total Payouts]]</f>
        <v>5269286</v>
      </c>
      <c r="J591" s="7">
        <v>0</v>
      </c>
      <c r="K591" s="7">
        <v>6068654</v>
      </c>
      <c r="L591" s="8">
        <f>OPERATORS[[#This Row],[Withholding Tax]]+OPERATORS[[#This Row],[Gaming Tax]]</f>
        <v>6068654</v>
      </c>
      <c r="M591" s="41"/>
    </row>
    <row r="592" spans="1:13" ht="14" x14ac:dyDescent="0.3">
      <c r="A592" s="18">
        <v>289</v>
      </c>
      <c r="B592" s="3" t="s">
        <v>12</v>
      </c>
      <c r="C592" s="20" t="s">
        <v>29</v>
      </c>
      <c r="D592" s="35" t="str">
        <f t="shared" si="21"/>
        <v/>
      </c>
      <c r="E592" s="5">
        <v>45747</v>
      </c>
      <c r="F592" s="6" t="s">
        <v>13</v>
      </c>
      <c r="G592" s="7">
        <v>738701484</v>
      </c>
      <c r="H592" s="7">
        <v>549334028</v>
      </c>
      <c r="I592" s="7">
        <f>OPERATORS[[#This Row],[Total Sales]]-OPERATORS[[#This Row],[Total Payouts]]</f>
        <v>189367456</v>
      </c>
      <c r="J592" s="7">
        <v>82400104</v>
      </c>
      <c r="K592" s="7">
        <v>43142377</v>
      </c>
      <c r="L592" s="8">
        <f>OPERATORS[[#This Row],[Withholding Tax]]+OPERATORS[[#This Row],[Gaming Tax]]</f>
        <v>125542481</v>
      </c>
      <c r="M592" s="41"/>
    </row>
    <row r="593" spans="1:13" ht="14" x14ac:dyDescent="0.3">
      <c r="A593" s="18">
        <v>290</v>
      </c>
      <c r="B593" s="3" t="s">
        <v>3</v>
      </c>
      <c r="C593" s="20" t="s">
        <v>76</v>
      </c>
      <c r="D593" s="35" t="str">
        <f t="shared" si="21"/>
        <v/>
      </c>
      <c r="E593" s="5">
        <v>45747</v>
      </c>
      <c r="F593" s="6" t="s">
        <v>13</v>
      </c>
      <c r="G593" s="7">
        <v>3253000</v>
      </c>
      <c r="H593" s="7">
        <v>0</v>
      </c>
      <c r="I593" s="7">
        <f>OPERATORS[[#This Row],[Total Sales]]-OPERATORS[[#This Row],[Total Payouts]]</f>
        <v>3253000</v>
      </c>
      <c r="J593" s="7">
        <v>0</v>
      </c>
      <c r="K593" s="7">
        <v>975900</v>
      </c>
      <c r="L593" s="8">
        <f>OPERATORS[[#This Row],[Withholding Tax]]+OPERATORS[[#This Row],[Gaming Tax]]</f>
        <v>975900</v>
      </c>
      <c r="M593" s="41"/>
    </row>
    <row r="594" spans="1:13" ht="14" x14ac:dyDescent="0.3">
      <c r="A594" s="18">
        <f>ROW(A593)</f>
        <v>593</v>
      </c>
      <c r="B594" s="3" t="s">
        <v>3</v>
      </c>
      <c r="C594" s="20" t="s">
        <v>53</v>
      </c>
      <c r="D594" s="35" t="str">
        <f t="shared" si="21"/>
        <v/>
      </c>
      <c r="E594" s="5">
        <v>45747</v>
      </c>
      <c r="F594" s="6" t="s">
        <v>13</v>
      </c>
      <c r="G594" s="36">
        <v>2692121750</v>
      </c>
      <c r="H594" s="36">
        <v>2175992000</v>
      </c>
      <c r="I594" s="7">
        <f>OPERATORS[[#This Row],[Total Sales]]-OPERATORS[[#This Row],[Total Payouts]]</f>
        <v>516129750</v>
      </c>
      <c r="J594" s="36">
        <v>0</v>
      </c>
      <c r="K594" s="36">
        <v>228165450</v>
      </c>
      <c r="L594" s="8">
        <f>OPERATORS[[#This Row],[Withholding Tax]]+OPERATORS[[#This Row],[Gaming Tax]]</f>
        <v>228165450</v>
      </c>
      <c r="M594" s="41"/>
    </row>
    <row r="595" spans="1:13" ht="14" x14ac:dyDescent="0.3">
      <c r="A595" s="18">
        <v>299</v>
      </c>
      <c r="B595" s="3" t="s">
        <v>12</v>
      </c>
      <c r="C595" s="20" t="s">
        <v>68</v>
      </c>
      <c r="D595" s="35" t="str">
        <f t="shared" ref="D595:D626" si="22">IFERROR(VLOOKUP(C595,OPerators_Range,2,FALSE),"")</f>
        <v/>
      </c>
      <c r="E595" s="5">
        <v>45747</v>
      </c>
      <c r="F595" s="6" t="s">
        <v>13</v>
      </c>
      <c r="G595" s="7">
        <v>28199087</v>
      </c>
      <c r="H595" s="7">
        <v>27471777</v>
      </c>
      <c r="I595" s="7">
        <f>OPERATORS[[#This Row],[Total Sales]]-OPERATORS[[#This Row],[Total Payouts]]</f>
        <v>727310</v>
      </c>
      <c r="J595" s="7">
        <v>4120767</v>
      </c>
      <c r="K595" s="7">
        <v>1603109</v>
      </c>
      <c r="L595" s="8">
        <f>OPERATORS[[#This Row],[Withholding Tax]]+OPERATORS[[#This Row],[Gaming Tax]]</f>
        <v>5723876</v>
      </c>
      <c r="M595" s="41"/>
    </row>
    <row r="596" spans="1:13" ht="14" x14ac:dyDescent="0.3">
      <c r="A596" s="18">
        <f>ROW(A595)</f>
        <v>595</v>
      </c>
      <c r="B596" s="3" t="s">
        <v>3</v>
      </c>
      <c r="C596" s="20" t="s">
        <v>71</v>
      </c>
      <c r="D596" s="35" t="str">
        <f t="shared" si="22"/>
        <v/>
      </c>
      <c r="E596" s="5">
        <v>45747</v>
      </c>
      <c r="F596" s="6" t="s">
        <v>13</v>
      </c>
      <c r="G596" s="7">
        <v>188011834</v>
      </c>
      <c r="H596" s="7">
        <v>63798500</v>
      </c>
      <c r="I596" s="7">
        <f>OPERATORS[[#This Row],[Total Sales]]-OPERATORS[[#This Row],[Total Payouts]]</f>
        <v>124213334</v>
      </c>
      <c r="J596" s="7"/>
      <c r="K596" s="7">
        <v>35008000</v>
      </c>
      <c r="L596" s="8">
        <f>OPERATORS[[#This Row],[Withholding Tax]]+OPERATORS[[#This Row],[Gaming Tax]]</f>
        <v>35008000</v>
      </c>
      <c r="M596" s="41"/>
    </row>
    <row r="597" spans="1:13" ht="14" x14ac:dyDescent="0.3">
      <c r="A597" s="18">
        <f>ROW(A596)</f>
        <v>596</v>
      </c>
      <c r="B597" s="3" t="s">
        <v>12</v>
      </c>
      <c r="C597" s="6" t="s">
        <v>54</v>
      </c>
      <c r="D597" s="35" t="str">
        <f t="shared" si="22"/>
        <v/>
      </c>
      <c r="E597" s="5">
        <v>45747</v>
      </c>
      <c r="F597" s="6" t="s">
        <v>13</v>
      </c>
      <c r="G597" s="7">
        <v>103788075</v>
      </c>
      <c r="H597" s="7">
        <v>65305310</v>
      </c>
      <c r="I597" s="7">
        <f>OPERATORS[[#This Row],[Total Sales]]-OPERATORS[[#This Row],[Total Payouts]]</f>
        <v>38482765</v>
      </c>
      <c r="J597" s="7">
        <v>9795797</v>
      </c>
      <c r="K597" s="7">
        <v>8102737</v>
      </c>
      <c r="L597" s="8">
        <f>OPERATORS[[#This Row],[Withholding Tax]]+OPERATORS[[#This Row],[Gaming Tax]]</f>
        <v>17898534</v>
      </c>
      <c r="M597" s="41"/>
    </row>
    <row r="598" spans="1:13" ht="14" x14ac:dyDescent="0.3">
      <c r="A598" s="18">
        <f>ROW(A597)</f>
        <v>597</v>
      </c>
      <c r="B598" s="3" t="s">
        <v>12</v>
      </c>
      <c r="C598" s="20" t="s">
        <v>74</v>
      </c>
      <c r="D598" s="35" t="str">
        <f t="shared" si="22"/>
        <v/>
      </c>
      <c r="E598" s="45">
        <v>45747</v>
      </c>
      <c r="F598" s="36" t="s">
        <v>13</v>
      </c>
      <c r="G598" s="36">
        <v>186036353</v>
      </c>
      <c r="H598" s="36">
        <v>127515843</v>
      </c>
      <c r="I598" s="7">
        <f>OPERATORS[[#This Row],[Total Sales]]-OPERATORS[[#This Row],[Total Payouts]]</f>
        <v>58520510</v>
      </c>
      <c r="J598" s="36">
        <v>19127376</v>
      </c>
      <c r="K598" s="36">
        <v>13845356</v>
      </c>
      <c r="L598" s="8">
        <f>OPERATORS[[#This Row],[Withholding Tax]]+OPERATORS[[#This Row],[Gaming Tax]]</f>
        <v>32972732</v>
      </c>
      <c r="M598" s="41"/>
    </row>
    <row r="599" spans="1:13" ht="14" x14ac:dyDescent="0.3">
      <c r="A599" s="18">
        <f>ROW(A598)</f>
        <v>598</v>
      </c>
      <c r="B599" s="3" t="s">
        <v>12</v>
      </c>
      <c r="C599" s="6" t="s">
        <v>35</v>
      </c>
      <c r="D599" s="35" t="str">
        <f t="shared" si="22"/>
        <v/>
      </c>
      <c r="E599" s="5">
        <v>45747</v>
      </c>
      <c r="F599" s="6" t="s">
        <v>13</v>
      </c>
      <c r="G599" s="7">
        <v>2115525000</v>
      </c>
      <c r="H599" s="7">
        <v>1993853000</v>
      </c>
      <c r="I599" s="7">
        <f>OPERATORS[[#This Row],[Total Sales]]-OPERATORS[[#This Row],[Total Payouts]]</f>
        <v>121672000</v>
      </c>
      <c r="J599" s="7">
        <v>299077950</v>
      </c>
      <c r="K599" s="7">
        <v>32406800</v>
      </c>
      <c r="L599" s="8">
        <f>OPERATORS[[#This Row],[Withholding Tax]]+OPERATORS[[#This Row],[Gaming Tax]]</f>
        <v>331484750</v>
      </c>
      <c r="M599" s="41"/>
    </row>
    <row r="600" spans="1:13" ht="14" x14ac:dyDescent="0.3">
      <c r="A600" s="18">
        <v>315</v>
      </c>
      <c r="B600" s="3" t="s">
        <v>16</v>
      </c>
      <c r="C600" s="6" t="s">
        <v>35</v>
      </c>
      <c r="D600" s="35" t="str">
        <f t="shared" si="22"/>
        <v/>
      </c>
      <c r="E600" s="5">
        <v>45747</v>
      </c>
      <c r="F600" s="6" t="s">
        <v>13</v>
      </c>
      <c r="G600" s="7">
        <v>1901070865</v>
      </c>
      <c r="H600" s="7">
        <v>1796304540</v>
      </c>
      <c r="I600" s="7">
        <f>OPERATORS[[#This Row],[Total Sales]]-OPERATORS[[#This Row],[Total Payouts]]</f>
        <v>104766325</v>
      </c>
      <c r="J600" s="7"/>
      <c r="K600" s="7">
        <v>31429898</v>
      </c>
      <c r="L600" s="8">
        <f>OPERATORS[[#This Row],[Withholding Tax]]+OPERATORS[[#This Row],[Gaming Tax]]</f>
        <v>31429898</v>
      </c>
      <c r="M600" s="41"/>
    </row>
    <row r="601" spans="1:13" ht="14" x14ac:dyDescent="0.3">
      <c r="A601" s="18">
        <f>ROW(A600)</f>
        <v>600</v>
      </c>
      <c r="B601" s="3" t="s">
        <v>3</v>
      </c>
      <c r="C601" s="20" t="s">
        <v>64</v>
      </c>
      <c r="D601" s="35" t="str">
        <f t="shared" si="22"/>
        <v/>
      </c>
      <c r="E601" s="5">
        <v>45747</v>
      </c>
      <c r="F601" s="6" t="s">
        <v>13</v>
      </c>
      <c r="G601" s="7">
        <v>674382656</v>
      </c>
      <c r="H601" s="7">
        <v>422747609</v>
      </c>
      <c r="I601" s="7">
        <f>OPERATORS[[#This Row],[Total Sales]]-OPERATORS[[#This Row],[Total Payouts]]</f>
        <v>251635047</v>
      </c>
      <c r="J601" s="7">
        <v>0</v>
      </c>
      <c r="K601" s="7">
        <v>75490514</v>
      </c>
      <c r="L601" s="8">
        <f>OPERATORS[[#This Row],[Withholding Tax]]+OPERATORS[[#This Row],[Gaming Tax]]</f>
        <v>75490514</v>
      </c>
      <c r="M601" s="41"/>
    </row>
    <row r="602" spans="1:13" ht="14" x14ac:dyDescent="0.3">
      <c r="A602" s="18">
        <v>318</v>
      </c>
      <c r="B602" s="3" t="s">
        <v>12</v>
      </c>
      <c r="C602" s="20" t="s">
        <v>64</v>
      </c>
      <c r="D602" s="35" t="str">
        <f t="shared" si="22"/>
        <v/>
      </c>
      <c r="E602" s="5">
        <v>45747</v>
      </c>
      <c r="F602" s="6" t="s">
        <v>13</v>
      </c>
      <c r="G602" s="7">
        <v>281315523</v>
      </c>
      <c r="H602" s="7">
        <v>219465676</v>
      </c>
      <c r="I602" s="7">
        <f>OPERATORS[[#This Row],[Total Sales]]-OPERATORS[[#This Row],[Total Payouts]]</f>
        <v>61849847</v>
      </c>
      <c r="J602" s="7">
        <v>107115829</v>
      </c>
      <c r="K602" s="7">
        <v>32919851</v>
      </c>
      <c r="L602" s="8">
        <v>31980488</v>
      </c>
      <c r="M602" s="41"/>
    </row>
    <row r="603" spans="1:13" ht="14" x14ac:dyDescent="0.3">
      <c r="A603" s="18">
        <f>ROW(A602)</f>
        <v>602</v>
      </c>
      <c r="B603" s="3" t="s">
        <v>12</v>
      </c>
      <c r="C603" s="6" t="s">
        <v>58</v>
      </c>
      <c r="D603" s="35" t="str">
        <f t="shared" si="22"/>
        <v/>
      </c>
      <c r="E603" s="5">
        <v>45747</v>
      </c>
      <c r="F603" s="6" t="s">
        <v>13</v>
      </c>
      <c r="G603" s="36">
        <v>7721020712</v>
      </c>
      <c r="H603" s="36">
        <v>7293947866</v>
      </c>
      <c r="I603" s="7">
        <f>OPERATORS[[#This Row],[Total Sales]]-OPERATORS[[#This Row],[Total Payouts]]</f>
        <v>427072846</v>
      </c>
      <c r="J603" s="36">
        <v>1094092180</v>
      </c>
      <c r="K603" s="36">
        <v>85985756</v>
      </c>
      <c r="L603" s="8">
        <v>1180077936</v>
      </c>
      <c r="M603" s="41"/>
    </row>
    <row r="604" spans="1:13" ht="14" x14ac:dyDescent="0.3">
      <c r="A604" s="18">
        <v>320</v>
      </c>
      <c r="B604" s="3" t="s">
        <v>16</v>
      </c>
      <c r="C604" s="6" t="s">
        <v>58</v>
      </c>
      <c r="D604" s="35" t="str">
        <f t="shared" si="22"/>
        <v/>
      </c>
      <c r="E604" s="5">
        <v>45747</v>
      </c>
      <c r="F604" s="6" t="s">
        <v>13</v>
      </c>
      <c r="G604" s="7">
        <v>5098335720</v>
      </c>
      <c r="H604" s="7">
        <v>4903266994</v>
      </c>
      <c r="I604" s="7">
        <f>OPERATORS[[#This Row],[Total Sales]]-OPERATORS[[#This Row],[Total Payouts]]</f>
        <v>195068726</v>
      </c>
      <c r="J604" s="7">
        <v>0</v>
      </c>
      <c r="K604" s="7">
        <v>65496725</v>
      </c>
      <c r="L604" s="8">
        <v>65496725</v>
      </c>
      <c r="M604" s="41"/>
    </row>
    <row r="605" spans="1:13" ht="14" x14ac:dyDescent="0.3">
      <c r="A605" s="18">
        <v>326</v>
      </c>
      <c r="B605" s="3" t="s">
        <v>17</v>
      </c>
      <c r="C605" s="20" t="s">
        <v>62</v>
      </c>
      <c r="D605" s="35" t="str">
        <f t="shared" si="22"/>
        <v/>
      </c>
      <c r="E605" s="5">
        <v>45747</v>
      </c>
      <c r="F605" s="6" t="s">
        <v>13</v>
      </c>
      <c r="G605" s="7">
        <v>1450388000</v>
      </c>
      <c r="H605" s="7">
        <v>916738824</v>
      </c>
      <c r="I605" s="7">
        <f>OPERATORS[[#This Row],[Total Sales]]-OPERATORS[[#This Row],[Total Payouts]]</f>
        <v>533649176</v>
      </c>
      <c r="J605" s="7"/>
      <c r="K605" s="7">
        <v>160094753</v>
      </c>
      <c r="L605" s="8">
        <f>OPERATORS[[#This Row],[Withholding Tax]]+OPERATORS[[#This Row],[Gaming Tax]]</f>
        <v>160094753</v>
      </c>
      <c r="M605" s="41"/>
    </row>
    <row r="606" spans="1:13" ht="14" x14ac:dyDescent="0.3">
      <c r="A606" s="18">
        <f>ROW(A605)</f>
        <v>605</v>
      </c>
      <c r="B606" s="3" t="s">
        <v>12</v>
      </c>
      <c r="C606" s="20" t="s">
        <v>67</v>
      </c>
      <c r="D606" s="35" t="str">
        <f t="shared" si="22"/>
        <v/>
      </c>
      <c r="E606" s="5">
        <v>45747</v>
      </c>
      <c r="F606" s="20" t="s">
        <v>13</v>
      </c>
      <c r="G606" s="7">
        <v>371889861</v>
      </c>
      <c r="H606" s="7">
        <v>180400443</v>
      </c>
      <c r="I606" s="7">
        <v>191489418</v>
      </c>
      <c r="J606" s="7">
        <v>27060066</v>
      </c>
      <c r="K606" s="7">
        <v>38297884</v>
      </c>
      <c r="L606" s="8">
        <f>OPERATORS[[#This Row],[Withholding Tax]]+OPERATORS[[#This Row],[Gaming Tax]]</f>
        <v>65357950</v>
      </c>
      <c r="M606" s="41"/>
    </row>
    <row r="607" spans="1:13" ht="14" x14ac:dyDescent="0.3">
      <c r="A607" s="18">
        <f>ROW(A606)</f>
        <v>606</v>
      </c>
      <c r="B607" s="3" t="s">
        <v>12</v>
      </c>
      <c r="C607" s="20" t="s">
        <v>55</v>
      </c>
      <c r="D607" s="35" t="str">
        <f t="shared" si="22"/>
        <v/>
      </c>
      <c r="E607" s="5">
        <v>45747</v>
      </c>
      <c r="F607" s="20" t="s">
        <v>13</v>
      </c>
      <c r="G607" s="7">
        <v>156595423</v>
      </c>
      <c r="H607" s="7">
        <v>109199810</v>
      </c>
      <c r="I607" s="7">
        <v>47395613</v>
      </c>
      <c r="J607" s="7">
        <v>47389613</v>
      </c>
      <c r="K607" s="7">
        <v>47389613</v>
      </c>
      <c r="L607" s="8">
        <f>OPERATORS[[#This Row],[Withholding Tax]]+OPERATORS[[#This Row],[Gaming Tax]]</f>
        <v>94779226</v>
      </c>
      <c r="M607" s="41"/>
    </row>
    <row r="608" spans="1:13" ht="14" x14ac:dyDescent="0.3">
      <c r="A608" s="18">
        <f>ROW(A607)</f>
        <v>607</v>
      </c>
      <c r="B608" s="3" t="s">
        <v>16</v>
      </c>
      <c r="C608" s="20" t="s">
        <v>59</v>
      </c>
      <c r="D608" s="35" t="str">
        <f t="shared" si="22"/>
        <v/>
      </c>
      <c r="E608" s="5">
        <v>45747</v>
      </c>
      <c r="F608" s="20" t="s">
        <v>13</v>
      </c>
      <c r="G608" s="7">
        <v>80742000</v>
      </c>
      <c r="H608" s="7">
        <v>66856366</v>
      </c>
      <c r="I608" s="7">
        <v>13885634</v>
      </c>
      <c r="J608" s="7">
        <v>0</v>
      </c>
      <c r="K608" s="7">
        <v>4165690</v>
      </c>
      <c r="L608" s="8">
        <f>OPERATORS[[#This Row],[Withholding Tax]]+OPERATORS[[#This Row],[Gaming Tax]]</f>
        <v>4165690</v>
      </c>
      <c r="M608" s="41"/>
    </row>
    <row r="609" spans="1:13" ht="14" x14ac:dyDescent="0.3">
      <c r="A609" s="18">
        <v>267</v>
      </c>
      <c r="B609" s="3" t="s">
        <v>12</v>
      </c>
      <c r="C609" s="20" t="s">
        <v>78</v>
      </c>
      <c r="D609" s="35" t="str">
        <f t="shared" si="22"/>
        <v/>
      </c>
      <c r="E609" s="5">
        <v>45777</v>
      </c>
      <c r="F609" s="6" t="s">
        <v>15</v>
      </c>
      <c r="G609" s="7">
        <v>139071219</v>
      </c>
      <c r="H609" s="7">
        <v>114272848</v>
      </c>
      <c r="I609" s="7">
        <f>OPERATORS[[#This Row],[Total Sales]]-OPERATORS[[#This Row],[Total Payouts]]</f>
        <v>24798371</v>
      </c>
      <c r="J609" s="7">
        <v>17140927</v>
      </c>
      <c r="K609" s="7">
        <v>5531359</v>
      </c>
      <c r="L609" s="8">
        <v>22672287</v>
      </c>
      <c r="M609" s="41"/>
    </row>
    <row r="610" spans="1:13" ht="14" x14ac:dyDescent="0.3">
      <c r="A610" s="18">
        <f>ROW(A609)</f>
        <v>609</v>
      </c>
      <c r="B610" s="19" t="s">
        <v>3</v>
      </c>
      <c r="C610" s="20" t="s">
        <v>61</v>
      </c>
      <c r="D610" s="20" t="str">
        <f t="shared" si="22"/>
        <v/>
      </c>
      <c r="E610" s="5">
        <v>45777</v>
      </c>
      <c r="F610" s="20" t="s">
        <v>15</v>
      </c>
      <c r="G610" s="7">
        <v>5500328710</v>
      </c>
      <c r="H610" s="7">
        <v>5316674712</v>
      </c>
      <c r="I610" s="7">
        <f>OPERATORS[[#This Row],[Total Sales]]-OPERATORS[[#This Row],[Total Payouts]]</f>
        <v>183653998</v>
      </c>
      <c r="J610" s="7">
        <v>0</v>
      </c>
      <c r="K610" s="7">
        <v>95776523</v>
      </c>
      <c r="L610" s="8">
        <v>95776523</v>
      </c>
      <c r="M610" s="41"/>
    </row>
    <row r="611" spans="1:13" ht="14" x14ac:dyDescent="0.3">
      <c r="A611" s="18">
        <f>ROW(A610)</f>
        <v>610</v>
      </c>
      <c r="B611" s="19" t="s">
        <v>12</v>
      </c>
      <c r="C611" s="20" t="s">
        <v>44</v>
      </c>
      <c r="D611" s="20" t="str">
        <f t="shared" si="22"/>
        <v/>
      </c>
      <c r="E611" s="5">
        <v>45777</v>
      </c>
      <c r="F611" s="20" t="s">
        <v>15</v>
      </c>
      <c r="G611" s="7">
        <v>0</v>
      </c>
      <c r="H611" s="7">
        <v>0</v>
      </c>
      <c r="I611" s="7">
        <f>OPERATORS[[#This Row],[Total Sales]]-OPERATORS[[#This Row],[Total Payouts]]</f>
        <v>0</v>
      </c>
      <c r="J611" s="7">
        <v>0</v>
      </c>
      <c r="K611" s="7">
        <v>0</v>
      </c>
      <c r="L611" s="8">
        <f>OPERATORS[[#This Row],[Withholding Tax]]+OPERATORS[[#This Row],[Gaming Tax]]</f>
        <v>0</v>
      </c>
      <c r="M611" s="41"/>
    </row>
    <row r="612" spans="1:13" ht="14" x14ac:dyDescent="0.3">
      <c r="A612" s="18">
        <v>243</v>
      </c>
      <c r="B612" s="19" t="s">
        <v>3</v>
      </c>
      <c r="C612" s="20" t="s">
        <v>44</v>
      </c>
      <c r="D612" s="20" t="str">
        <f t="shared" si="22"/>
        <v/>
      </c>
      <c r="E612" s="5">
        <v>45777</v>
      </c>
      <c r="F612" s="20" t="s">
        <v>15</v>
      </c>
      <c r="G612" s="7">
        <v>72036613</v>
      </c>
      <c r="H612" s="7">
        <v>63321294</v>
      </c>
      <c r="I612" s="7">
        <f>OPERATORS[[#This Row],[Total Sales]]-OPERATORS[[#This Row],[Total Payouts]]</f>
        <v>8715319</v>
      </c>
      <c r="J612" s="7">
        <v>0</v>
      </c>
      <c r="K612" s="7">
        <v>2620253</v>
      </c>
      <c r="L612" s="8">
        <v>2620253</v>
      </c>
      <c r="M612" s="41"/>
    </row>
    <row r="613" spans="1:13" ht="14" x14ac:dyDescent="0.3">
      <c r="A613" s="18">
        <f>ROW(A612)</f>
        <v>612</v>
      </c>
      <c r="B613" s="19" t="s">
        <v>12</v>
      </c>
      <c r="C613" s="20" t="s">
        <v>37</v>
      </c>
      <c r="D613" s="20" t="str">
        <f t="shared" si="22"/>
        <v/>
      </c>
      <c r="E613" s="5">
        <v>45777</v>
      </c>
      <c r="F613" s="20" t="s">
        <v>15</v>
      </c>
      <c r="G613" s="7">
        <v>1133080806</v>
      </c>
      <c r="H613" s="7">
        <v>818579994</v>
      </c>
      <c r="I613" s="7">
        <f>OPERATORS[[#This Row],[Total Sales]]-OPERATORS[[#This Row],[Total Payouts]]</f>
        <v>314500812</v>
      </c>
      <c r="J613" s="7">
        <v>122786999</v>
      </c>
      <c r="K613" s="7">
        <v>65298038</v>
      </c>
      <c r="L613" s="8">
        <v>188085038</v>
      </c>
      <c r="M613" s="41"/>
    </row>
    <row r="614" spans="1:13" ht="14" x14ac:dyDescent="0.3">
      <c r="A614" s="18">
        <v>244</v>
      </c>
      <c r="B614" s="19" t="s">
        <v>12</v>
      </c>
      <c r="C614" s="20" t="s">
        <v>55</v>
      </c>
      <c r="D614" s="20" t="str">
        <f t="shared" si="22"/>
        <v/>
      </c>
      <c r="E614" s="5">
        <v>45777</v>
      </c>
      <c r="F614" s="20" t="s">
        <v>15</v>
      </c>
      <c r="G614" s="7">
        <v>226242000</v>
      </c>
      <c r="H614" s="7">
        <v>137624870</v>
      </c>
      <c r="I614" s="7">
        <f>OPERATORS[[#This Row],[Total Sales]]-OPERATORS[[#This Row],[Total Payouts]]</f>
        <v>88617130</v>
      </c>
      <c r="J614" s="7">
        <v>20643731</v>
      </c>
      <c r="K614" s="7">
        <v>17723426</v>
      </c>
      <c r="L614" s="8">
        <v>38367156</v>
      </c>
      <c r="M614" s="41"/>
    </row>
    <row r="615" spans="1:13" ht="14" x14ac:dyDescent="0.3">
      <c r="A615" s="18">
        <f>ROW(A614)</f>
        <v>614</v>
      </c>
      <c r="B615" s="19" t="s">
        <v>16</v>
      </c>
      <c r="C615" s="20" t="s">
        <v>69</v>
      </c>
      <c r="D615" s="20" t="str">
        <f t="shared" si="22"/>
        <v/>
      </c>
      <c r="E615" s="5">
        <v>45777</v>
      </c>
      <c r="F615" s="20" t="s">
        <v>15</v>
      </c>
      <c r="G615" s="7">
        <v>566458400</v>
      </c>
      <c r="H615" s="7">
        <v>476317288</v>
      </c>
      <c r="I615" s="7">
        <f>OPERATORS[[#This Row],[Total Sales]]-OPERATORS[[#This Row],[Total Payouts]]</f>
        <v>90141112</v>
      </c>
      <c r="J615" s="7">
        <v>0</v>
      </c>
      <c r="K615" s="7">
        <v>28082950</v>
      </c>
      <c r="L615" s="8">
        <v>28082950</v>
      </c>
      <c r="M615" s="41"/>
    </row>
    <row r="616" spans="1:13" ht="14" x14ac:dyDescent="0.3">
      <c r="A616" s="18">
        <v>245</v>
      </c>
      <c r="B616" s="19" t="s">
        <v>17</v>
      </c>
      <c r="C616" s="20" t="s">
        <v>34</v>
      </c>
      <c r="D616" s="20" t="str">
        <f t="shared" si="22"/>
        <v/>
      </c>
      <c r="E616" s="5">
        <v>45777</v>
      </c>
      <c r="F616" s="20" t="s">
        <v>15</v>
      </c>
      <c r="G616" s="7">
        <v>558728000</v>
      </c>
      <c r="H616" s="7">
        <v>519700000</v>
      </c>
      <c r="I616" s="7">
        <f>OPERATORS[[#This Row],[Total Sales]]-OPERATORS[[#This Row],[Total Payouts]]</f>
        <v>39028000</v>
      </c>
      <c r="J616" s="7">
        <v>0</v>
      </c>
      <c r="K616" s="7">
        <v>11708400</v>
      </c>
      <c r="L616" s="8">
        <v>11708400</v>
      </c>
      <c r="M616" s="41"/>
    </row>
    <row r="617" spans="1:13" ht="14" x14ac:dyDescent="0.3">
      <c r="A617" s="18">
        <f>ROW(A616)</f>
        <v>616</v>
      </c>
      <c r="B617" s="19" t="s">
        <v>12</v>
      </c>
      <c r="C617" s="20" t="s">
        <v>28</v>
      </c>
      <c r="D617" s="20" t="str">
        <f t="shared" si="22"/>
        <v/>
      </c>
      <c r="E617" s="5">
        <v>45777</v>
      </c>
      <c r="F617" s="20" t="s">
        <v>15</v>
      </c>
      <c r="G617" s="7">
        <v>1198698665</v>
      </c>
      <c r="H617" s="7">
        <v>878639487</v>
      </c>
      <c r="I617" s="7">
        <f>OPERATORS[[#This Row],[Total Sales]]-OPERATORS[[#This Row],[Total Payouts]]</f>
        <v>320059178</v>
      </c>
      <c r="J617" s="7">
        <v>131795923</v>
      </c>
      <c r="K617" s="7">
        <v>64011836</v>
      </c>
      <c r="L617" s="8">
        <v>195807759</v>
      </c>
      <c r="M617" s="41"/>
    </row>
    <row r="618" spans="1:13" ht="14" x14ac:dyDescent="0.3">
      <c r="A618" s="18">
        <v>246</v>
      </c>
      <c r="B618" s="19" t="s">
        <v>3</v>
      </c>
      <c r="C618" s="20" t="s">
        <v>28</v>
      </c>
      <c r="D618" s="20" t="str">
        <f t="shared" si="22"/>
        <v/>
      </c>
      <c r="E618" s="5">
        <v>45777</v>
      </c>
      <c r="F618" s="20" t="s">
        <v>15</v>
      </c>
      <c r="G618" s="7">
        <v>6036995401</v>
      </c>
      <c r="H618" s="7">
        <v>5734976016</v>
      </c>
      <c r="I618" s="7">
        <f>OPERATORS[[#This Row],[Total Sales]]-OPERATORS[[#This Row],[Total Payouts]]</f>
        <v>302019385</v>
      </c>
      <c r="J618" s="7">
        <v>0</v>
      </c>
      <c r="K618" s="7">
        <v>90605816</v>
      </c>
      <c r="L618" s="8">
        <v>90605816</v>
      </c>
      <c r="M618" s="41"/>
    </row>
    <row r="619" spans="1:13" ht="14" x14ac:dyDescent="0.3">
      <c r="A619" s="18">
        <f>ROW(A618)</f>
        <v>618</v>
      </c>
      <c r="B619" s="19" t="s">
        <v>16</v>
      </c>
      <c r="C619" s="20" t="s">
        <v>39</v>
      </c>
      <c r="D619" s="20" t="str">
        <f t="shared" si="22"/>
        <v/>
      </c>
      <c r="E619" s="5">
        <v>45777</v>
      </c>
      <c r="F619" s="20" t="s">
        <v>15</v>
      </c>
      <c r="G619" s="7">
        <v>0</v>
      </c>
      <c r="H619" s="7">
        <v>0</v>
      </c>
      <c r="I619" s="7">
        <f>OPERATORS[[#This Row],[Total Sales]]-OPERATORS[[#This Row],[Total Payouts]]</f>
        <v>0</v>
      </c>
      <c r="J619" s="7">
        <v>0</v>
      </c>
      <c r="K619" s="7">
        <v>0</v>
      </c>
      <c r="L619" s="8">
        <v>0</v>
      </c>
      <c r="M619" s="41"/>
    </row>
    <row r="620" spans="1:13" ht="14" x14ac:dyDescent="0.3">
      <c r="A620" s="18">
        <v>247</v>
      </c>
      <c r="B620" s="19" t="s">
        <v>12</v>
      </c>
      <c r="C620" s="20" t="s">
        <v>70</v>
      </c>
      <c r="D620" s="20" t="str">
        <f t="shared" si="22"/>
        <v/>
      </c>
      <c r="E620" s="5">
        <v>45777</v>
      </c>
      <c r="F620" s="20" t="s">
        <v>15</v>
      </c>
      <c r="G620" s="7">
        <v>7711990426</v>
      </c>
      <c r="H620" s="7">
        <v>6544223744</v>
      </c>
      <c r="I620" s="7">
        <f>OPERATORS[[#This Row],[Total Sales]]-OPERATORS[[#This Row],[Total Payouts]]</f>
        <v>1167766682</v>
      </c>
      <c r="J620" s="7">
        <v>981633562</v>
      </c>
      <c r="K620" s="7">
        <v>239985358</v>
      </c>
      <c r="L620" s="8">
        <v>1221618920</v>
      </c>
      <c r="M620" s="41"/>
    </row>
    <row r="621" spans="1:13" ht="14" x14ac:dyDescent="0.3">
      <c r="A621" s="18">
        <f>ROW(A620)</f>
        <v>620</v>
      </c>
      <c r="B621" s="19" t="s">
        <v>3</v>
      </c>
      <c r="C621" s="20" t="s">
        <v>70</v>
      </c>
      <c r="D621" s="20" t="str">
        <f t="shared" si="22"/>
        <v/>
      </c>
      <c r="E621" s="5">
        <v>45777</v>
      </c>
      <c r="F621" s="20" t="s">
        <v>15</v>
      </c>
      <c r="G621" s="7">
        <v>5845954229</v>
      </c>
      <c r="H621" s="7">
        <v>5538647604</v>
      </c>
      <c r="I621" s="7">
        <f>OPERATORS[[#This Row],[Total Sales]]-OPERATORS[[#This Row],[Total Payouts]]</f>
        <v>307306625</v>
      </c>
      <c r="J621" s="7"/>
      <c r="K621" s="7">
        <v>92259251</v>
      </c>
      <c r="L621" s="8">
        <v>92259251</v>
      </c>
      <c r="M621" s="41"/>
    </row>
    <row r="622" spans="1:13" ht="14" x14ac:dyDescent="0.3">
      <c r="A622" s="18">
        <v>248</v>
      </c>
      <c r="B622" s="19" t="s">
        <v>12</v>
      </c>
      <c r="C622" s="20" t="s">
        <v>65</v>
      </c>
      <c r="D622" s="20" t="str">
        <f t="shared" si="22"/>
        <v/>
      </c>
      <c r="E622" s="5">
        <v>45777</v>
      </c>
      <c r="F622" s="20" t="s">
        <v>15</v>
      </c>
      <c r="G622" s="7">
        <v>0</v>
      </c>
      <c r="H622" s="7">
        <v>0</v>
      </c>
      <c r="I622" s="7">
        <f>OPERATORS[[#This Row],[Total Sales]]-OPERATORS[[#This Row],[Total Payouts]]</f>
        <v>0</v>
      </c>
      <c r="J622" s="7">
        <v>0</v>
      </c>
      <c r="K622" s="7">
        <v>0</v>
      </c>
      <c r="L622" s="8">
        <f>OPERATORS[[#This Row],[Withholding Tax]]+OPERATORS[[#This Row],[Gaming Tax]]</f>
        <v>0</v>
      </c>
      <c r="M622" s="41"/>
    </row>
    <row r="623" spans="1:13" ht="14" x14ac:dyDescent="0.3">
      <c r="A623" s="18">
        <f>ROW(A622)</f>
        <v>622</v>
      </c>
      <c r="B623" s="19" t="s">
        <v>3</v>
      </c>
      <c r="C623" s="20" t="s">
        <v>65</v>
      </c>
      <c r="D623" s="20" t="str">
        <f t="shared" si="22"/>
        <v/>
      </c>
      <c r="E623" s="5">
        <v>45777</v>
      </c>
      <c r="F623" s="20" t="s">
        <v>15</v>
      </c>
      <c r="G623" s="7">
        <v>0</v>
      </c>
      <c r="H623" s="7">
        <v>0</v>
      </c>
      <c r="I623" s="7">
        <f>OPERATORS[[#This Row],[Total Sales]]-OPERATORS[[#This Row],[Total Payouts]]</f>
        <v>0</v>
      </c>
      <c r="J623" s="7">
        <v>0</v>
      </c>
      <c r="K623" s="7">
        <v>0</v>
      </c>
      <c r="L623" s="8">
        <f>OPERATORS[[#This Row],[Withholding Tax]]+OPERATORS[[#This Row],[Gaming Tax]]</f>
        <v>0</v>
      </c>
      <c r="M623" s="41"/>
    </row>
    <row r="624" spans="1:13" ht="14" x14ac:dyDescent="0.3">
      <c r="A624" s="18">
        <v>249</v>
      </c>
      <c r="B624" s="19" t="s">
        <v>12</v>
      </c>
      <c r="C624" s="20" t="s">
        <v>73</v>
      </c>
      <c r="D624" s="20" t="str">
        <f t="shared" si="22"/>
        <v/>
      </c>
      <c r="E624" s="5">
        <v>45777</v>
      </c>
      <c r="F624" s="20" t="s">
        <v>15</v>
      </c>
      <c r="G624" s="7">
        <v>0</v>
      </c>
      <c r="H624" s="7">
        <v>0</v>
      </c>
      <c r="I624" s="7">
        <f>OPERATORS[[#This Row],[Total Sales]]-OPERATORS[[#This Row],[Total Payouts]]</f>
        <v>0</v>
      </c>
      <c r="J624" s="7">
        <v>0</v>
      </c>
      <c r="K624" s="7">
        <v>0</v>
      </c>
      <c r="L624" s="8">
        <f>OPERATORS[[#This Row],[Withholding Tax]]+OPERATORS[[#This Row],[Gaming Tax]]</f>
        <v>0</v>
      </c>
      <c r="M624" s="41"/>
    </row>
    <row r="625" spans="1:13" ht="14" x14ac:dyDescent="0.3">
      <c r="A625" s="18">
        <f>ROW(A624)</f>
        <v>624</v>
      </c>
      <c r="B625" s="19" t="s">
        <v>3</v>
      </c>
      <c r="C625" s="20" t="s">
        <v>73</v>
      </c>
      <c r="D625" s="20" t="str">
        <f t="shared" si="22"/>
        <v/>
      </c>
      <c r="E625" s="5">
        <v>45777</v>
      </c>
      <c r="F625" s="20" t="s">
        <v>15</v>
      </c>
      <c r="G625" s="7">
        <v>0</v>
      </c>
      <c r="H625" s="7">
        <v>0</v>
      </c>
      <c r="I625" s="7">
        <f>OPERATORS[[#This Row],[Total Sales]]-OPERATORS[[#This Row],[Total Payouts]]</f>
        <v>0</v>
      </c>
      <c r="J625" s="7">
        <v>0</v>
      </c>
      <c r="K625" s="7">
        <v>0</v>
      </c>
      <c r="L625" s="8">
        <f>OPERATORS[[#This Row],[Withholding Tax]]+OPERATORS[[#This Row],[Gaming Tax]]</f>
        <v>0</v>
      </c>
      <c r="M625" s="41"/>
    </row>
    <row r="626" spans="1:13" ht="14" x14ac:dyDescent="0.3">
      <c r="A626" s="18">
        <v>250</v>
      </c>
      <c r="B626" s="19" t="s">
        <v>16</v>
      </c>
      <c r="C626" s="20" t="s">
        <v>38</v>
      </c>
      <c r="D626" s="20" t="str">
        <f t="shared" si="22"/>
        <v/>
      </c>
      <c r="E626" s="5">
        <v>45777</v>
      </c>
      <c r="F626" s="20" t="s">
        <v>15</v>
      </c>
      <c r="G626" s="7">
        <v>150107700</v>
      </c>
      <c r="H626" s="7">
        <v>103136190</v>
      </c>
      <c r="I626" s="7">
        <f>OPERATORS[[#This Row],[Total Sales]]-OPERATORS[[#This Row],[Total Payouts]]</f>
        <v>46971510</v>
      </c>
      <c r="J626" s="7">
        <v>0</v>
      </c>
      <c r="K626" s="7">
        <v>14091453</v>
      </c>
      <c r="L626" s="8">
        <f>OPERATORS[[#This Row],[Withholding Tax]]+OPERATORS[[#This Row],[Gaming Tax]]</f>
        <v>14091453</v>
      </c>
      <c r="M626" s="41"/>
    </row>
    <row r="627" spans="1:13" ht="14" x14ac:dyDescent="0.3">
      <c r="A627" s="18">
        <f>ROW(A626)</f>
        <v>626</v>
      </c>
      <c r="B627" s="19" t="s">
        <v>12</v>
      </c>
      <c r="C627" s="20" t="s">
        <v>30</v>
      </c>
      <c r="D627" s="20" t="str">
        <f t="shared" ref="D627" si="23">IFERROR(VLOOKUP(C627,OPerators_Range,2,FALSE),"")</f>
        <v/>
      </c>
      <c r="E627" s="5">
        <v>45777</v>
      </c>
      <c r="F627" s="20" t="s">
        <v>15</v>
      </c>
      <c r="G627" s="7">
        <v>73697264</v>
      </c>
      <c r="H627" s="7">
        <v>52273632</v>
      </c>
      <c r="I627" s="7">
        <f>OPERATORS[[#This Row],[Total Sales]]-OPERATORS[[#This Row],[Total Payouts]]</f>
        <v>21423632</v>
      </c>
      <c r="J627" s="7">
        <v>7841045</v>
      </c>
      <c r="K627" s="7">
        <v>4888177</v>
      </c>
      <c r="L627" s="8">
        <f>OPERATORS[[#This Row],[Withholding Tax]]+OPERATORS[[#This Row],[Gaming Tax]]</f>
        <v>12729222</v>
      </c>
      <c r="M627" s="41"/>
    </row>
    <row r="628" spans="1:13" ht="14" x14ac:dyDescent="0.3">
      <c r="A628" s="18">
        <v>251</v>
      </c>
      <c r="B628" s="19" t="s">
        <v>3</v>
      </c>
      <c r="C628" s="20" t="s">
        <v>56</v>
      </c>
      <c r="D628" s="35">
        <v>1000035508</v>
      </c>
      <c r="E628" s="5">
        <v>45777</v>
      </c>
      <c r="F628" s="20" t="s">
        <v>15</v>
      </c>
      <c r="G628" s="7">
        <v>261940704</v>
      </c>
      <c r="H628" s="7" t="s">
        <v>19</v>
      </c>
      <c r="I628" s="7">
        <v>0</v>
      </c>
      <c r="J628" s="7">
        <v>0</v>
      </c>
      <c r="K628" s="7">
        <v>102611822</v>
      </c>
      <c r="L628" s="8">
        <f>OPERATORS[[#This Row],[Withholding Tax]]+OPERATORS[[#This Row],[Gaming Tax]]</f>
        <v>102611822</v>
      </c>
      <c r="M628" s="41"/>
    </row>
    <row r="629" spans="1:13" ht="14" x14ac:dyDescent="0.3">
      <c r="A629" s="18">
        <f>ROW(A628)</f>
        <v>628</v>
      </c>
      <c r="B629" s="19" t="s">
        <v>12</v>
      </c>
      <c r="C629" s="20" t="s">
        <v>45</v>
      </c>
      <c r="D629" s="20" t="str">
        <f t="shared" ref="D629:D663" si="24">IFERROR(VLOOKUP(C629,OPerators_Range,2,FALSE),"")</f>
        <v/>
      </c>
      <c r="E629" s="5">
        <v>45777</v>
      </c>
      <c r="F629" s="20" t="s">
        <v>15</v>
      </c>
      <c r="G629" s="7">
        <v>3340907547</v>
      </c>
      <c r="H629" s="7">
        <v>2216946634</v>
      </c>
      <c r="I629" s="7">
        <f>OPERATORS[[#This Row],[Total Sales]]-OPERATORS[[#This Row],[Total Payouts]]</f>
        <v>1123960913</v>
      </c>
      <c r="J629" s="7">
        <v>332541995</v>
      </c>
      <c r="K629" s="7">
        <v>224792183</v>
      </c>
      <c r="L629" s="8">
        <f>OPERATORS[[#This Row],[Withholding Tax]]+OPERATORS[[#This Row],[Gaming Tax]]</f>
        <v>557334178</v>
      </c>
      <c r="M629" s="41"/>
    </row>
    <row r="630" spans="1:13" ht="14" x14ac:dyDescent="0.3">
      <c r="A630" s="18">
        <v>252</v>
      </c>
      <c r="B630" s="19" t="s">
        <v>16</v>
      </c>
      <c r="C630" s="20" t="s">
        <v>45</v>
      </c>
      <c r="D630" s="20" t="str">
        <f t="shared" si="24"/>
        <v/>
      </c>
      <c r="E630" s="5">
        <v>45777</v>
      </c>
      <c r="F630" s="20" t="s">
        <v>15</v>
      </c>
      <c r="G630" s="7">
        <v>6527067829</v>
      </c>
      <c r="H630" s="7">
        <v>5804877607</v>
      </c>
      <c r="I630" s="7">
        <f>OPERATORS[[#This Row],[Total Sales]]-OPERATORS[[#This Row],[Total Payouts]]</f>
        <v>722190222</v>
      </c>
      <c r="J630" s="7"/>
      <c r="K630" s="7">
        <v>216657067</v>
      </c>
      <c r="L630" s="8">
        <f>OPERATORS[[#This Row],[Withholding Tax]]+OPERATORS[[#This Row],[Gaming Tax]]</f>
        <v>216657067</v>
      </c>
      <c r="M630" s="41"/>
    </row>
    <row r="631" spans="1:13" ht="14" x14ac:dyDescent="0.3">
      <c r="A631" s="18">
        <f>ROW(A630)</f>
        <v>630</v>
      </c>
      <c r="B631" s="19" t="s">
        <v>12</v>
      </c>
      <c r="C631" s="20" t="s">
        <v>50</v>
      </c>
      <c r="D631" s="20" t="str">
        <f t="shared" si="24"/>
        <v/>
      </c>
      <c r="E631" s="5">
        <v>45777</v>
      </c>
      <c r="F631" s="20" t="s">
        <v>15</v>
      </c>
      <c r="G631" s="7">
        <v>193010474</v>
      </c>
      <c r="H631" s="7">
        <v>164384157</v>
      </c>
      <c r="I631" s="7">
        <f>OPERATORS[[#This Row],[Total Sales]]-OPERATORS[[#This Row],[Total Payouts]]</f>
        <v>28626317</v>
      </c>
      <c r="J631" s="7">
        <v>24657624</v>
      </c>
      <c r="K631" s="7">
        <v>7591526</v>
      </c>
      <c r="L631" s="8">
        <f>OPERATORS[[#This Row],[Withholding Tax]]+OPERATORS[[#This Row],[Gaming Tax]]</f>
        <v>32249150</v>
      </c>
      <c r="M631" s="41"/>
    </row>
    <row r="632" spans="1:13" ht="14" x14ac:dyDescent="0.3">
      <c r="A632" s="18">
        <v>253</v>
      </c>
      <c r="B632" s="19" t="s">
        <v>12</v>
      </c>
      <c r="C632" s="20" t="s">
        <v>50</v>
      </c>
      <c r="D632" s="20" t="str">
        <f t="shared" si="24"/>
        <v/>
      </c>
      <c r="E632" s="5">
        <v>45777</v>
      </c>
      <c r="F632" s="20" t="s">
        <v>15</v>
      </c>
      <c r="G632" s="7">
        <v>1337716630</v>
      </c>
      <c r="H632" s="7">
        <v>1285970485</v>
      </c>
      <c r="I632" s="7">
        <f>OPERATORS[[#This Row],[Total Sales]]-OPERATORS[[#This Row],[Total Payouts]]</f>
        <v>51746145</v>
      </c>
      <c r="J632" s="7"/>
      <c r="K632" s="7">
        <v>19107122</v>
      </c>
      <c r="L632" s="8">
        <f>OPERATORS[[#This Row],[Withholding Tax]]+OPERATORS[[#This Row],[Gaming Tax]]</f>
        <v>19107122</v>
      </c>
      <c r="M632" s="41"/>
    </row>
    <row r="633" spans="1:13" ht="14" x14ac:dyDescent="0.3">
      <c r="A633" s="18">
        <f>ROW(A632)</f>
        <v>632</v>
      </c>
      <c r="B633" s="19" t="s">
        <v>3</v>
      </c>
      <c r="C633" s="20" t="s">
        <v>48</v>
      </c>
      <c r="D633" s="20" t="str">
        <f t="shared" si="24"/>
        <v/>
      </c>
      <c r="E633" s="5">
        <v>45777</v>
      </c>
      <c r="F633" s="20" t="s">
        <v>15</v>
      </c>
      <c r="G633" s="7">
        <v>1064441000</v>
      </c>
      <c r="H633" s="7" t="s">
        <v>19</v>
      </c>
      <c r="I633" s="7">
        <v>1064441000</v>
      </c>
      <c r="J633" s="7">
        <v>0</v>
      </c>
      <c r="K633" s="7">
        <v>319332300</v>
      </c>
      <c r="L633" s="8">
        <f>OPERATORS[[#This Row],[Withholding Tax]]+OPERATORS[[#This Row],[Gaming Tax]]</f>
        <v>319332300</v>
      </c>
      <c r="M633" s="41"/>
    </row>
    <row r="634" spans="1:13" ht="14" x14ac:dyDescent="0.3">
      <c r="A634" s="18">
        <v>254</v>
      </c>
      <c r="B634" s="19" t="s">
        <v>12</v>
      </c>
      <c r="C634" s="20" t="s">
        <v>61</v>
      </c>
      <c r="D634" s="20" t="str">
        <f t="shared" si="24"/>
        <v/>
      </c>
      <c r="E634" s="5">
        <v>45777</v>
      </c>
      <c r="F634" s="20" t="s">
        <v>15</v>
      </c>
      <c r="G634" s="7">
        <v>1011234231</v>
      </c>
      <c r="H634" s="7">
        <v>544881249</v>
      </c>
      <c r="I634" s="7">
        <f>OPERATORS[[#This Row],[Total Sales]]-OPERATORS[[#This Row],[Total Payouts]]</f>
        <v>466352982</v>
      </c>
      <c r="J634" s="7">
        <v>81732187</v>
      </c>
      <c r="K634" s="7">
        <v>93270596</v>
      </c>
      <c r="L634" s="8">
        <f>OPERATORS[[#This Row],[Withholding Tax]]+OPERATORS[[#This Row],[Gaming Tax]]</f>
        <v>175002783</v>
      </c>
      <c r="M634" s="41"/>
    </row>
    <row r="635" spans="1:13" ht="14" x14ac:dyDescent="0.3">
      <c r="A635" s="18">
        <f>ROW(A634)</f>
        <v>634</v>
      </c>
      <c r="B635" s="19" t="s">
        <v>16</v>
      </c>
      <c r="C635" s="20" t="s">
        <v>61</v>
      </c>
      <c r="D635" s="20" t="str">
        <f t="shared" si="24"/>
        <v/>
      </c>
      <c r="E635" s="5">
        <v>45777</v>
      </c>
      <c r="F635" s="20" t="s">
        <v>15</v>
      </c>
      <c r="G635" s="7">
        <v>728118242</v>
      </c>
      <c r="H635" s="7">
        <v>607624888</v>
      </c>
      <c r="I635" s="7">
        <f>OPERATORS[[#This Row],[Total Sales]]-OPERATORS[[#This Row],[Total Payouts]]</f>
        <v>120493354</v>
      </c>
      <c r="J635" s="7">
        <v>0</v>
      </c>
      <c r="K635" s="7">
        <v>36148006</v>
      </c>
      <c r="L635" s="8">
        <f>OPERATORS[[#This Row],[Withholding Tax]]+OPERATORS[[#This Row],[Gaming Tax]]</f>
        <v>36148006</v>
      </c>
      <c r="M635" s="41"/>
    </row>
    <row r="636" spans="1:13" ht="14" x14ac:dyDescent="0.3">
      <c r="A636" s="18">
        <v>255</v>
      </c>
      <c r="B636" s="19" t="s">
        <v>12</v>
      </c>
      <c r="C636" s="20" t="s">
        <v>41</v>
      </c>
      <c r="D636" s="20" t="str">
        <f t="shared" si="24"/>
        <v/>
      </c>
      <c r="E636" s="5">
        <v>45777</v>
      </c>
      <c r="F636" s="20" t="s">
        <v>15</v>
      </c>
      <c r="G636" s="7">
        <v>294206941780</v>
      </c>
      <c r="H636" s="7">
        <v>260803589325</v>
      </c>
      <c r="I636" s="7">
        <f>OPERATORS[[#This Row],[Total Sales]]-OPERATORS[[#This Row],[Total Payouts]]</f>
        <v>33403352455</v>
      </c>
      <c r="J636" s="7">
        <v>39120538399</v>
      </c>
      <c r="K636" s="7">
        <v>6680670491</v>
      </c>
      <c r="L636" s="8">
        <f>OPERATORS[[#This Row],[Withholding Tax]]+OPERATORS[[#This Row],[Gaming Tax]]</f>
        <v>45801208890</v>
      </c>
      <c r="M636" s="41"/>
    </row>
    <row r="637" spans="1:13" ht="14" x14ac:dyDescent="0.3">
      <c r="A637" s="18">
        <f>ROW(A636)</f>
        <v>636</v>
      </c>
      <c r="B637" s="19" t="s">
        <v>3</v>
      </c>
      <c r="C637" s="20" t="s">
        <v>41</v>
      </c>
      <c r="D637" s="20" t="str">
        <f t="shared" si="24"/>
        <v/>
      </c>
      <c r="E637" s="5">
        <v>45777</v>
      </c>
      <c r="F637" s="20" t="s">
        <v>15</v>
      </c>
      <c r="G637" s="7">
        <v>377477570912</v>
      </c>
      <c r="H637" s="7">
        <v>371815407349</v>
      </c>
      <c r="I637" s="7">
        <f>OPERATORS[[#This Row],[Total Sales]]-OPERATORS[[#This Row],[Total Payouts]]</f>
        <v>5662163563</v>
      </c>
      <c r="J637" s="7">
        <v>0</v>
      </c>
      <c r="K637" s="7">
        <v>1698649069</v>
      </c>
      <c r="L637" s="8">
        <f>OPERATORS[[#This Row],[Withholding Tax]]+OPERATORS[[#This Row],[Gaming Tax]]</f>
        <v>1698649069</v>
      </c>
      <c r="M637" s="41"/>
    </row>
    <row r="638" spans="1:13" ht="14" x14ac:dyDescent="0.3">
      <c r="A638" s="18">
        <v>256</v>
      </c>
      <c r="B638" s="19" t="s">
        <v>3</v>
      </c>
      <c r="C638" s="20" t="s">
        <v>66</v>
      </c>
      <c r="D638" s="20" t="str">
        <f t="shared" si="24"/>
        <v/>
      </c>
      <c r="E638" s="5">
        <v>45777</v>
      </c>
      <c r="F638" s="20" t="s">
        <v>15</v>
      </c>
      <c r="G638" s="7">
        <v>13339554</v>
      </c>
      <c r="H638" s="7">
        <v>12192464</v>
      </c>
      <c r="I638" s="7">
        <f>OPERATORS[[#This Row],[Total Sales]]-OPERATORS[[#This Row],[Total Payouts]]</f>
        <v>1147090</v>
      </c>
      <c r="J638" s="7">
        <v>0</v>
      </c>
      <c r="K638" s="7">
        <v>437898</v>
      </c>
      <c r="L638" s="8">
        <v>437898</v>
      </c>
      <c r="M638" s="41"/>
    </row>
    <row r="639" spans="1:13" ht="14" x14ac:dyDescent="0.3">
      <c r="A639" s="18">
        <f>ROW(A638)</f>
        <v>638</v>
      </c>
      <c r="B639" s="19" t="s">
        <v>12</v>
      </c>
      <c r="C639" s="20" t="s">
        <v>72</v>
      </c>
      <c r="D639" s="20" t="str">
        <f t="shared" si="24"/>
        <v/>
      </c>
      <c r="E639" s="5">
        <v>45777</v>
      </c>
      <c r="F639" s="20" t="s">
        <v>15</v>
      </c>
      <c r="G639" s="7">
        <v>22433233</v>
      </c>
      <c r="H639" s="7">
        <v>17550043</v>
      </c>
      <c r="I639" s="7">
        <f>OPERATORS[[#This Row],[Total Sales]]-OPERATORS[[#This Row],[Total Payouts]]</f>
        <v>4883190</v>
      </c>
      <c r="J639" s="7">
        <v>2632506</v>
      </c>
      <c r="K639" s="7">
        <v>1419837</v>
      </c>
      <c r="L639" s="8">
        <v>4052343</v>
      </c>
      <c r="M639" s="41"/>
    </row>
    <row r="640" spans="1:13" ht="14" x14ac:dyDescent="0.3">
      <c r="A640" s="18">
        <v>257</v>
      </c>
      <c r="B640" s="19" t="s">
        <v>16</v>
      </c>
      <c r="C640" s="20" t="s">
        <v>72</v>
      </c>
      <c r="D640" s="20" t="str">
        <f t="shared" si="24"/>
        <v/>
      </c>
      <c r="E640" s="5">
        <v>45777</v>
      </c>
      <c r="F640" s="20" t="s">
        <v>15</v>
      </c>
      <c r="G640" s="7">
        <v>66428229</v>
      </c>
      <c r="H640" s="7">
        <v>64073470</v>
      </c>
      <c r="I640" s="7">
        <v>2354759</v>
      </c>
      <c r="J640" s="7">
        <v>0</v>
      </c>
      <c r="K640" s="7">
        <v>852380</v>
      </c>
      <c r="L640" s="8">
        <v>852380</v>
      </c>
      <c r="M640" s="41"/>
    </row>
    <row r="641" spans="1:13" ht="14" x14ac:dyDescent="0.3">
      <c r="A641" s="18">
        <f>ROW(A640)</f>
        <v>640</v>
      </c>
      <c r="B641" s="19" t="s">
        <v>12</v>
      </c>
      <c r="C641" s="20" t="s">
        <v>36</v>
      </c>
      <c r="D641" s="20" t="str">
        <f t="shared" si="24"/>
        <v/>
      </c>
      <c r="E641" s="5">
        <v>45777</v>
      </c>
      <c r="F641" s="20" t="s">
        <v>15</v>
      </c>
      <c r="G641" s="7">
        <v>52271399</v>
      </c>
      <c r="H641" s="7">
        <v>51308841</v>
      </c>
      <c r="I641" s="7">
        <f>OPERATORS[[#This Row],[Total Sales]]-OPERATORS[[#This Row],[Total Payouts]]</f>
        <v>962558</v>
      </c>
      <c r="J641" s="7">
        <v>7696326</v>
      </c>
      <c r="K641" s="7">
        <v>2480927</v>
      </c>
      <c r="L641" s="8">
        <v>10177253</v>
      </c>
      <c r="M641" s="41"/>
    </row>
    <row r="642" spans="1:13" ht="14" x14ac:dyDescent="0.3">
      <c r="A642" s="18">
        <v>258</v>
      </c>
      <c r="B642" s="19" t="s">
        <v>16</v>
      </c>
      <c r="C642" s="20" t="s">
        <v>36</v>
      </c>
      <c r="D642" s="20" t="str">
        <f t="shared" si="24"/>
        <v/>
      </c>
      <c r="E642" s="5">
        <v>45777</v>
      </c>
      <c r="F642" s="20" t="s">
        <v>15</v>
      </c>
      <c r="G642" s="7">
        <v>240715610</v>
      </c>
      <c r="H642" s="7">
        <v>194877569</v>
      </c>
      <c r="I642" s="7">
        <f>OPERATORS[[#This Row],[Total Sales]]-OPERATORS[[#This Row],[Total Payouts]]</f>
        <v>45838041</v>
      </c>
      <c r="J642" s="7">
        <v>0</v>
      </c>
      <c r="K642" s="7">
        <v>13751412</v>
      </c>
      <c r="L642" s="8">
        <v>13751412</v>
      </c>
      <c r="M642" s="41"/>
    </row>
    <row r="643" spans="1:13" ht="14" x14ac:dyDescent="0.3">
      <c r="A643" s="18">
        <f>ROW(A642)</f>
        <v>642</v>
      </c>
      <c r="B643" s="19" t="s">
        <v>3</v>
      </c>
      <c r="C643" s="20" t="s">
        <v>51</v>
      </c>
      <c r="D643" s="20" t="str">
        <f t="shared" si="24"/>
        <v/>
      </c>
      <c r="E643" s="5">
        <v>45777</v>
      </c>
      <c r="F643" s="20" t="s">
        <v>15</v>
      </c>
      <c r="G643" s="7">
        <v>1270993178</v>
      </c>
      <c r="H643" s="7">
        <v>106309407</v>
      </c>
      <c r="I643" s="7">
        <f>OPERATORS[[#This Row],[Total Sales]]-OPERATORS[[#This Row],[Total Payouts]]</f>
        <v>1164683771</v>
      </c>
      <c r="J643" s="7">
        <v>0</v>
      </c>
      <c r="K643" s="7">
        <v>381297953</v>
      </c>
      <c r="L643" s="8">
        <v>381297953</v>
      </c>
      <c r="M643" s="41"/>
    </row>
    <row r="644" spans="1:13" ht="14" x14ac:dyDescent="0.3">
      <c r="A644" s="18">
        <f>ROW(A643)</f>
        <v>643</v>
      </c>
      <c r="B644" s="19" t="s">
        <v>3</v>
      </c>
      <c r="C644" s="20" t="s">
        <v>52</v>
      </c>
      <c r="D644" s="20" t="str">
        <f t="shared" si="24"/>
        <v/>
      </c>
      <c r="E644" s="5">
        <v>45777</v>
      </c>
      <c r="F644" s="20" t="s">
        <v>15</v>
      </c>
      <c r="G644" s="7">
        <v>176164200</v>
      </c>
      <c r="H644" s="7">
        <v>106783000</v>
      </c>
      <c r="I644" s="7">
        <f>OPERATORS[[#This Row],[Total Sales]]-OPERATORS[[#This Row],[Total Payouts]]</f>
        <v>69381200</v>
      </c>
      <c r="J644" s="7">
        <v>0</v>
      </c>
      <c r="K644" s="7">
        <v>21582360</v>
      </c>
      <c r="L644" s="8">
        <v>21582360</v>
      </c>
      <c r="M644" s="41"/>
    </row>
    <row r="645" spans="1:13" ht="14" x14ac:dyDescent="0.3">
      <c r="A645" s="18">
        <v>260</v>
      </c>
      <c r="B645" s="19" t="s">
        <v>16</v>
      </c>
      <c r="C645" s="20" t="s">
        <v>59</v>
      </c>
      <c r="D645" s="20" t="str">
        <f t="shared" si="24"/>
        <v/>
      </c>
      <c r="E645" s="5">
        <v>45777</v>
      </c>
      <c r="F645" s="20" t="s">
        <v>15</v>
      </c>
      <c r="G645" s="7">
        <v>79229000</v>
      </c>
      <c r="H645" s="7">
        <v>65500935</v>
      </c>
      <c r="I645" s="7">
        <f>OPERATORS[[#This Row],[Total Sales]]-OPERATORS[[#This Row],[Total Payouts]]</f>
        <v>13728065</v>
      </c>
      <c r="J645" s="7">
        <v>0</v>
      </c>
      <c r="K645" s="7">
        <v>4118420</v>
      </c>
      <c r="L645" s="8">
        <v>4118420</v>
      </c>
      <c r="M645" s="41"/>
    </row>
    <row r="646" spans="1:13" ht="14" x14ac:dyDescent="0.3">
      <c r="A646" s="18">
        <f>ROW(A645)</f>
        <v>645</v>
      </c>
      <c r="B646" s="19" t="s">
        <v>3</v>
      </c>
      <c r="C646" s="20" t="s">
        <v>42</v>
      </c>
      <c r="D646" s="20" t="str">
        <f t="shared" si="24"/>
        <v/>
      </c>
      <c r="E646" s="5">
        <v>45777</v>
      </c>
      <c r="F646" s="20" t="s">
        <v>15</v>
      </c>
      <c r="G646" s="7">
        <v>93600988</v>
      </c>
      <c r="H646" s="7">
        <v>71750055</v>
      </c>
      <c r="I646" s="7">
        <f>OPERATORS[[#This Row],[Total Sales]]-OPERATORS[[#This Row],[Total Payouts]]</f>
        <v>21850933</v>
      </c>
      <c r="J646" s="7">
        <v>0</v>
      </c>
      <c r="K646" s="7">
        <v>6555280</v>
      </c>
      <c r="L646" s="8">
        <f>OPERATORS[[#This Row],[Withholding Tax]]+OPERATORS[[#This Row],[Gaming Tax]]</f>
        <v>6555280</v>
      </c>
      <c r="M646" s="41"/>
    </row>
    <row r="647" spans="1:13" ht="14" x14ac:dyDescent="0.3">
      <c r="A647" s="18">
        <v>264</v>
      </c>
      <c r="B647" s="19" t="s">
        <v>12</v>
      </c>
      <c r="C647" s="20" t="s">
        <v>42</v>
      </c>
      <c r="D647" s="20" t="str">
        <f t="shared" si="24"/>
        <v/>
      </c>
      <c r="E647" s="5">
        <v>45777</v>
      </c>
      <c r="F647" s="20" t="s">
        <v>15</v>
      </c>
      <c r="G647" s="7">
        <v>31417386</v>
      </c>
      <c r="H647" s="7">
        <v>25161028</v>
      </c>
      <c r="I647" s="7">
        <f>OPERATORS[[#This Row],[Total Sales]]-OPERATORS[[#This Row],[Total Payouts]]</f>
        <v>6256358</v>
      </c>
      <c r="J647" s="7">
        <v>3774154</v>
      </c>
      <c r="K647" s="7">
        <v>1350562</v>
      </c>
      <c r="L647" s="8">
        <f>OPERATORS[[#This Row],[Withholding Tax]]+OPERATORS[[#This Row],[Gaming Tax]]</f>
        <v>5124716</v>
      </c>
      <c r="M647" s="41"/>
    </row>
    <row r="648" spans="1:13" ht="14" x14ac:dyDescent="0.3">
      <c r="A648" s="18">
        <v>274</v>
      </c>
      <c r="B648" s="19" t="s">
        <v>16</v>
      </c>
      <c r="C648" s="20" t="s">
        <v>77</v>
      </c>
      <c r="D648" s="20" t="str">
        <f t="shared" si="24"/>
        <v/>
      </c>
      <c r="E648" s="5">
        <v>45777</v>
      </c>
      <c r="F648" s="20" t="s">
        <v>15</v>
      </c>
      <c r="G648" s="7">
        <v>769800500</v>
      </c>
      <c r="H648" s="7">
        <v>633740520</v>
      </c>
      <c r="I648" s="7">
        <f>OPERATORS[[#This Row],[Total Sales]]-OPERATORS[[#This Row],[Total Payouts]]</f>
        <v>136059980</v>
      </c>
      <c r="J648" s="7">
        <v>0</v>
      </c>
      <c r="K648" s="7">
        <v>40817994</v>
      </c>
      <c r="L648" s="8">
        <f>OPERATORS[[#This Row],[Withholding Tax]]+OPERATORS[[#This Row],[Gaming Tax]]</f>
        <v>40817994</v>
      </c>
      <c r="M648" s="41"/>
    </row>
    <row r="649" spans="1:13" ht="14" x14ac:dyDescent="0.3">
      <c r="A649" s="18">
        <f>ROW(A648)</f>
        <v>648</v>
      </c>
      <c r="B649" s="19" t="s">
        <v>16</v>
      </c>
      <c r="C649" s="20" t="s">
        <v>27</v>
      </c>
      <c r="D649" s="20" t="str">
        <f t="shared" si="24"/>
        <v/>
      </c>
      <c r="E649" s="5">
        <v>45777</v>
      </c>
      <c r="F649" s="20" t="s">
        <v>15</v>
      </c>
      <c r="G649" s="7">
        <v>237431003</v>
      </c>
      <c r="H649" s="7">
        <v>219060414</v>
      </c>
      <c r="I649" s="7">
        <f>OPERATORS[[#This Row],[Total Sales]]-OPERATORS[[#This Row],[Total Payouts]]</f>
        <v>18370589</v>
      </c>
      <c r="J649" s="7">
        <v>0</v>
      </c>
      <c r="K649" s="7">
        <v>5511177</v>
      </c>
      <c r="L649" s="8">
        <f>OPERATORS[[#This Row],[Withholding Tax]]+OPERATORS[[#This Row],[Gaming Tax]]</f>
        <v>5511177</v>
      </c>
      <c r="M649" s="41"/>
    </row>
    <row r="650" spans="1:13" ht="14" x14ac:dyDescent="0.3">
      <c r="A650" s="18">
        <v>275</v>
      </c>
      <c r="B650" s="19" t="s">
        <v>12</v>
      </c>
      <c r="C650" s="20" t="s">
        <v>46</v>
      </c>
      <c r="D650" s="20" t="str">
        <f t="shared" si="24"/>
        <v/>
      </c>
      <c r="E650" s="5">
        <v>45777</v>
      </c>
      <c r="F650" s="20" t="s">
        <v>15</v>
      </c>
      <c r="G650" s="7">
        <v>230438494</v>
      </c>
      <c r="H650" s="7">
        <v>101871943</v>
      </c>
      <c r="I650" s="7">
        <f>OPERATORS[[#This Row],[Total Sales]]-OPERATORS[[#This Row],[Total Payouts]]</f>
        <v>128566551</v>
      </c>
      <c r="J650" s="7">
        <v>15280791</v>
      </c>
      <c r="K650" s="7">
        <v>25713310</v>
      </c>
      <c r="L650" s="8">
        <f>OPERATORS[[#This Row],[Withholding Tax]]+OPERATORS[[#This Row],[Gaming Tax]]</f>
        <v>40994101</v>
      </c>
      <c r="M650" s="41"/>
    </row>
    <row r="651" spans="1:13" ht="14" x14ac:dyDescent="0.3">
      <c r="A651" s="18">
        <f>ROW(A650)</f>
        <v>650</v>
      </c>
      <c r="B651" s="19" t="s">
        <v>16</v>
      </c>
      <c r="C651" s="20" t="s">
        <v>46</v>
      </c>
      <c r="D651" s="20" t="str">
        <f t="shared" si="24"/>
        <v/>
      </c>
      <c r="E651" s="5">
        <v>45777</v>
      </c>
      <c r="F651" s="20" t="s">
        <v>15</v>
      </c>
      <c r="G651" s="7">
        <v>2629700625</v>
      </c>
      <c r="H651" s="7">
        <v>2422259742</v>
      </c>
      <c r="I651" s="7">
        <f>OPERATORS[[#This Row],[Total Sales]]-OPERATORS[[#This Row],[Total Payouts]]</f>
        <v>207440883</v>
      </c>
      <c r="J651" s="7"/>
      <c r="K651" s="7">
        <v>62232265</v>
      </c>
      <c r="L651" s="8">
        <f>OPERATORS[[#This Row],[Withholding Tax]]+OPERATORS[[#This Row],[Gaming Tax]]</f>
        <v>62232265</v>
      </c>
      <c r="M651" s="41"/>
    </row>
    <row r="652" spans="1:13" ht="14" x14ac:dyDescent="0.3">
      <c r="A652" s="18">
        <v>276</v>
      </c>
      <c r="B652" s="19" t="s">
        <v>16</v>
      </c>
      <c r="C652" s="20" t="s">
        <v>33</v>
      </c>
      <c r="D652" s="20" t="str">
        <f t="shared" si="24"/>
        <v/>
      </c>
      <c r="E652" s="5">
        <v>45777</v>
      </c>
      <c r="F652" s="20" t="s">
        <v>15</v>
      </c>
      <c r="G652" s="7">
        <v>723957000</v>
      </c>
      <c r="H652" s="7">
        <v>709611900</v>
      </c>
      <c r="I652" s="7">
        <f>OPERATORS[[#This Row],[Total Sales]]-OPERATORS[[#This Row],[Total Payouts]]</f>
        <v>14345100</v>
      </c>
      <c r="J652" s="7">
        <v>0</v>
      </c>
      <c r="K652" s="7">
        <v>4303530</v>
      </c>
      <c r="L652" s="8">
        <v>7800000</v>
      </c>
      <c r="M652" s="41"/>
    </row>
    <row r="653" spans="1:13" ht="14" x14ac:dyDescent="0.3">
      <c r="A653" s="18">
        <f>ROW(A652)</f>
        <v>652</v>
      </c>
      <c r="B653" s="19" t="s">
        <v>12</v>
      </c>
      <c r="C653" s="20" t="s">
        <v>31</v>
      </c>
      <c r="D653" s="20" t="str">
        <f t="shared" si="24"/>
        <v/>
      </c>
      <c r="E653" s="5">
        <v>45777</v>
      </c>
      <c r="F653" s="20" t="s">
        <v>15</v>
      </c>
      <c r="G653" s="7">
        <v>29901855</v>
      </c>
      <c r="H653" s="7">
        <v>22907280</v>
      </c>
      <c r="I653" s="7">
        <f>OPERATORS[[#This Row],[Total Sales]]-OPERATORS[[#This Row],[Total Payouts]]</f>
        <v>6994575</v>
      </c>
      <c r="J653" s="7">
        <v>3436092</v>
      </c>
      <c r="K653" s="7">
        <v>2677648.7999999998</v>
      </c>
      <c r="L653" s="8">
        <f>OPERATORS[[#This Row],[Withholding Tax]]+OPERATORS[[#This Row],[Gaming Tax]]</f>
        <v>6113740.7999999998</v>
      </c>
      <c r="M653" s="41"/>
    </row>
    <row r="654" spans="1:13" ht="14" x14ac:dyDescent="0.3">
      <c r="A654" s="18">
        <f>ROW(A653)</f>
        <v>653</v>
      </c>
      <c r="B654" s="3" t="s">
        <v>12</v>
      </c>
      <c r="C654" s="20" t="s">
        <v>29</v>
      </c>
      <c r="D654" s="20" t="str">
        <f t="shared" si="24"/>
        <v/>
      </c>
      <c r="E654" s="5">
        <v>45777</v>
      </c>
      <c r="F654" s="6" t="s">
        <v>15</v>
      </c>
      <c r="G654" s="7">
        <v>745092615</v>
      </c>
      <c r="H654" s="7">
        <v>547108715</v>
      </c>
      <c r="I654" s="7">
        <f>OPERATORS[[#This Row],[Total Sales]]-OPERATORS[[#This Row],[Total Payouts]]</f>
        <v>197983900</v>
      </c>
      <c r="J654" s="7">
        <v>82066307.25</v>
      </c>
      <c r="K654" s="7">
        <v>40474516.200000003</v>
      </c>
      <c r="L654" s="8">
        <f>OPERATORS[[#This Row],[Withholding Tax]]+OPERATORS[[#This Row],[Gaming Tax]]</f>
        <v>122540823.45</v>
      </c>
      <c r="M654" s="41"/>
    </row>
    <row r="655" spans="1:13" ht="14" x14ac:dyDescent="0.3">
      <c r="A655" s="18">
        <f>ROW(A654)</f>
        <v>654</v>
      </c>
      <c r="B655" s="3" t="s">
        <v>12</v>
      </c>
      <c r="C655" s="20" t="s">
        <v>32</v>
      </c>
      <c r="D655" s="35" t="str">
        <f t="shared" si="24"/>
        <v/>
      </c>
      <c r="E655" s="5">
        <v>45777</v>
      </c>
      <c r="F655" s="6" t="s">
        <v>15</v>
      </c>
      <c r="G655" s="7">
        <v>605506216</v>
      </c>
      <c r="H655" s="7">
        <v>413119435</v>
      </c>
      <c r="I655" s="7">
        <f>OPERATORS[[#This Row],[Total Sales]]-OPERATORS[[#This Row],[Total Payouts]]</f>
        <v>192386781</v>
      </c>
      <c r="J655" s="7">
        <v>61967915</v>
      </c>
      <c r="K655" s="7">
        <v>38513134</v>
      </c>
      <c r="L655" s="8">
        <f>OPERATORS[[#This Row],[Withholding Tax]]+OPERATORS[[#This Row],[Gaming Tax]]</f>
        <v>100481049</v>
      </c>
      <c r="M655" s="41"/>
    </row>
    <row r="656" spans="1:13" ht="14" x14ac:dyDescent="0.3">
      <c r="A656" s="18">
        <v>283</v>
      </c>
      <c r="B656" s="3" t="s">
        <v>3</v>
      </c>
      <c r="C656" s="20" t="s">
        <v>32</v>
      </c>
      <c r="D656" s="35" t="str">
        <f t="shared" si="24"/>
        <v/>
      </c>
      <c r="E656" s="5">
        <v>45777</v>
      </c>
      <c r="F656" s="6" t="s">
        <v>15</v>
      </c>
      <c r="G656" s="7">
        <v>132851015</v>
      </c>
      <c r="H656" s="7">
        <v>89930163</v>
      </c>
      <c r="I656" s="7">
        <f>OPERATORS[[#This Row],[Total Sales]]-OPERATORS[[#This Row],[Total Payouts]]</f>
        <v>42920852</v>
      </c>
      <c r="J656" s="7"/>
      <c r="K656" s="7">
        <v>12762669</v>
      </c>
      <c r="L656" s="8">
        <f>OPERATORS[[#This Row],[Withholding Tax]]+OPERATORS[[#This Row],[Gaming Tax]]</f>
        <v>12762669</v>
      </c>
      <c r="M656" s="41"/>
    </row>
    <row r="657" spans="1:13" ht="14" x14ac:dyDescent="0.3">
      <c r="A657" s="18">
        <f>ROW(A656)</f>
        <v>656</v>
      </c>
      <c r="B657" s="3" t="s">
        <v>3</v>
      </c>
      <c r="C657" s="20" t="s">
        <v>57</v>
      </c>
      <c r="D657" s="35" t="str">
        <f t="shared" si="24"/>
        <v/>
      </c>
      <c r="E657" s="5">
        <v>45777</v>
      </c>
      <c r="F657" s="6" t="s">
        <v>15</v>
      </c>
      <c r="G657" s="7">
        <v>771218950</v>
      </c>
      <c r="H657" s="7">
        <v>641128757</v>
      </c>
      <c r="I657" s="7">
        <f>OPERATORS[[#This Row],[Total Sales]]-OPERATORS[[#This Row],[Total Payouts]]</f>
        <v>130090193</v>
      </c>
      <c r="J657" s="7">
        <v>0</v>
      </c>
      <c r="K657" s="7">
        <v>39027058</v>
      </c>
      <c r="L657" s="8">
        <f>OPERATORS[[#This Row],[Withholding Tax]]+OPERATORS[[#This Row],[Gaming Tax]]</f>
        <v>39027058</v>
      </c>
      <c r="M657" s="41"/>
    </row>
    <row r="658" spans="1:13" ht="14" x14ac:dyDescent="0.3">
      <c r="A658" s="18">
        <v>287</v>
      </c>
      <c r="B658" s="3" t="s">
        <v>16</v>
      </c>
      <c r="C658" s="20" t="s">
        <v>60</v>
      </c>
      <c r="D658" s="35" t="str">
        <f t="shared" si="24"/>
        <v/>
      </c>
      <c r="E658" s="5">
        <v>45777</v>
      </c>
      <c r="F658" s="6" t="s">
        <v>15</v>
      </c>
      <c r="G658" s="25">
        <v>76917940410</v>
      </c>
      <c r="H658" s="7">
        <v>73418443841</v>
      </c>
      <c r="I658" s="7">
        <f>OPERATORS[[#This Row],[Total Sales]]-OPERATORS[[#This Row],[Total Payouts]]</f>
        <v>3499496569</v>
      </c>
      <c r="J658" s="7"/>
      <c r="K658" s="7">
        <v>1049848971</v>
      </c>
      <c r="L658" s="8">
        <f>OPERATORS[[#This Row],[Withholding Tax]]+OPERATORS[[#This Row],[Gaming Tax]]</f>
        <v>1049848971</v>
      </c>
      <c r="M658" s="41"/>
    </row>
    <row r="659" spans="1:13" ht="14" x14ac:dyDescent="0.3">
      <c r="A659" s="18">
        <f>ROW(A658)</f>
        <v>658</v>
      </c>
      <c r="B659" s="3" t="s">
        <v>12</v>
      </c>
      <c r="C659" s="20" t="s">
        <v>60</v>
      </c>
      <c r="D659" s="35" t="str">
        <f t="shared" si="24"/>
        <v/>
      </c>
      <c r="E659" s="5">
        <v>45777</v>
      </c>
      <c r="F659" s="6" t="s">
        <v>15</v>
      </c>
      <c r="G659" s="7">
        <v>13703201476</v>
      </c>
      <c r="H659" s="7">
        <v>11397396183</v>
      </c>
      <c r="I659" s="7">
        <f>OPERATORS[[#This Row],[Total Sales]]-OPERATORS[[#This Row],[Total Payouts]]</f>
        <v>2305805293</v>
      </c>
      <c r="J659" s="7">
        <v>1709609427</v>
      </c>
      <c r="K659" s="7">
        <v>461362867</v>
      </c>
      <c r="L659" s="8">
        <f>OPERATORS[[#This Row],[Withholding Tax]]+OPERATORS[[#This Row],[Gaming Tax]]</f>
        <v>2170972294</v>
      </c>
      <c r="M659" s="41"/>
    </row>
    <row r="660" spans="1:13" ht="14" x14ac:dyDescent="0.3">
      <c r="A660" s="18">
        <f>ROW(A659)</f>
        <v>659</v>
      </c>
      <c r="B660" s="3" t="s">
        <v>3</v>
      </c>
      <c r="C660" s="20" t="s">
        <v>76</v>
      </c>
      <c r="D660" s="35" t="str">
        <f t="shared" si="24"/>
        <v/>
      </c>
      <c r="E660" s="5">
        <v>45777</v>
      </c>
      <c r="F660" s="6" t="s">
        <v>15</v>
      </c>
      <c r="G660" s="7">
        <v>5829000</v>
      </c>
      <c r="H660" s="7">
        <v>0</v>
      </c>
      <c r="I660" s="7">
        <f>OPERATORS[[#This Row],[Total Sales]]-OPERATORS[[#This Row],[Total Payouts]]</f>
        <v>5829000</v>
      </c>
      <c r="J660" s="7">
        <v>0</v>
      </c>
      <c r="K660" s="7">
        <v>1748700</v>
      </c>
      <c r="L660" s="8">
        <f>OPERATORS[[#This Row],[Withholding Tax]]+OPERATORS[[#This Row],[Gaming Tax]]</f>
        <v>1748700</v>
      </c>
      <c r="M660" s="41"/>
    </row>
    <row r="661" spans="1:13" ht="14" x14ac:dyDescent="0.3">
      <c r="A661" s="18">
        <v>296</v>
      </c>
      <c r="B661" s="3" t="s">
        <v>3</v>
      </c>
      <c r="C661" s="20" t="s">
        <v>53</v>
      </c>
      <c r="D661" s="35" t="str">
        <f t="shared" si="24"/>
        <v/>
      </c>
      <c r="E661" s="5">
        <v>45777</v>
      </c>
      <c r="F661" s="6" t="s">
        <v>15</v>
      </c>
      <c r="G661" s="6">
        <v>2618223000</v>
      </c>
      <c r="H661" s="6">
        <v>2147412000</v>
      </c>
      <c r="I661" s="7">
        <f>OPERATORS[[#This Row],[Total Sales]]-OPERATORS[[#This Row],[Total Payouts]]</f>
        <v>470811000</v>
      </c>
      <c r="J661" s="6">
        <v>0</v>
      </c>
      <c r="K661" s="6">
        <v>221040525</v>
      </c>
      <c r="L661" s="8">
        <f>OPERATORS[[#This Row],[Withholding Tax]]+OPERATORS[[#This Row],[Gaming Tax]]</f>
        <v>221040525</v>
      </c>
      <c r="M661" s="41"/>
    </row>
    <row r="662" spans="1:13" ht="14" x14ac:dyDescent="0.3">
      <c r="A662" s="18">
        <v>301</v>
      </c>
      <c r="B662" s="3" t="s">
        <v>3</v>
      </c>
      <c r="C662" s="20" t="s">
        <v>71</v>
      </c>
      <c r="D662" s="35" t="str">
        <f t="shared" si="24"/>
        <v/>
      </c>
      <c r="E662" s="5">
        <v>45777</v>
      </c>
      <c r="F662" s="6" t="s">
        <v>15</v>
      </c>
      <c r="G662" s="7">
        <v>211907000</v>
      </c>
      <c r="H662" s="7">
        <v>66004000</v>
      </c>
      <c r="I662" s="7">
        <f>OPERATORS[[#This Row],[Total Sales]]-OPERATORS[[#This Row],[Total Payouts]]</f>
        <v>145903000</v>
      </c>
      <c r="J662" s="7"/>
      <c r="K662" s="7">
        <v>43840800</v>
      </c>
      <c r="L662" s="8">
        <f>OPERATORS[[#This Row],[Withholding Tax]]+OPERATORS[[#This Row],[Gaming Tax]]</f>
        <v>43840800</v>
      </c>
      <c r="M662" s="41"/>
    </row>
    <row r="663" spans="1:13" ht="14" x14ac:dyDescent="0.3">
      <c r="A663" s="18">
        <v>306</v>
      </c>
      <c r="B663" s="3" t="s">
        <v>12</v>
      </c>
      <c r="C663" s="6" t="s">
        <v>54</v>
      </c>
      <c r="D663" s="20" t="str">
        <f t="shared" si="24"/>
        <v/>
      </c>
      <c r="E663" s="5">
        <v>45777</v>
      </c>
      <c r="F663" s="6" t="s">
        <v>15</v>
      </c>
      <c r="G663" s="7">
        <v>29088862</v>
      </c>
      <c r="H663" s="7">
        <v>13327701</v>
      </c>
      <c r="I663" s="7">
        <v>15761161</v>
      </c>
      <c r="J663" s="7">
        <v>1999155</v>
      </c>
      <c r="K663" s="7">
        <v>3152232</v>
      </c>
      <c r="L663" s="8">
        <f>OPERATORS[[#This Row],[Withholding Tax]]+OPERATORS[[#This Row],[Gaming Tax]]</f>
        <v>5151387</v>
      </c>
      <c r="M663" s="41"/>
    </row>
    <row r="664" spans="1:13" ht="14" x14ac:dyDescent="0.3">
      <c r="A664" s="18">
        <v>311</v>
      </c>
      <c r="B664" s="3" t="s">
        <v>12</v>
      </c>
      <c r="C664" s="20" t="s">
        <v>74</v>
      </c>
      <c r="D664" s="35" t="str">
        <f t="shared" ref="D664:D678" si="25">IFERROR(VLOOKUP(C664,OPerators_Range,2,FALSE),"")</f>
        <v/>
      </c>
      <c r="E664" s="45">
        <v>45777</v>
      </c>
      <c r="F664" s="36" t="s">
        <v>15</v>
      </c>
      <c r="G664" s="36">
        <v>127993541</v>
      </c>
      <c r="H664" s="36">
        <v>79622715</v>
      </c>
      <c r="I664" s="7">
        <f>OPERATORS[[#This Row],[Total Sales]]-OPERATORS[[#This Row],[Total Payouts]]</f>
        <v>48370826</v>
      </c>
      <c r="J664" s="36">
        <v>11943407</v>
      </c>
      <c r="K664" s="36">
        <v>11238952</v>
      </c>
      <c r="L664" s="8">
        <f>OPERATORS[[#This Row],[Withholding Tax]]+OPERATORS[[#This Row],[Gaming Tax]]</f>
        <v>23182359</v>
      </c>
      <c r="M664" s="41"/>
    </row>
    <row r="665" spans="1:13" ht="14" x14ac:dyDescent="0.3">
      <c r="A665" s="18">
        <f>ROW(A664)</f>
        <v>664</v>
      </c>
      <c r="B665" s="3" t="s">
        <v>12</v>
      </c>
      <c r="C665" s="6" t="s">
        <v>35</v>
      </c>
      <c r="D665" s="35" t="str">
        <f t="shared" si="25"/>
        <v/>
      </c>
      <c r="E665" s="5">
        <v>45777</v>
      </c>
      <c r="F665" s="6" t="s">
        <v>15</v>
      </c>
      <c r="G665" s="7">
        <v>2146919000</v>
      </c>
      <c r="H665" s="7">
        <v>2004784000</v>
      </c>
      <c r="I665" s="7">
        <f>OPERATORS[[#This Row],[Total Sales]]-OPERATORS[[#This Row],[Total Payouts]]</f>
        <v>142135000</v>
      </c>
      <c r="J665" s="7">
        <v>300717600</v>
      </c>
      <c r="K665" s="7">
        <v>36861400</v>
      </c>
      <c r="L665" s="8">
        <f>OPERATORS[[#This Row],[Withholding Tax]]+OPERATORS[[#This Row],[Gaming Tax]]</f>
        <v>337579000</v>
      </c>
      <c r="M665" s="41"/>
    </row>
    <row r="666" spans="1:13" ht="14" x14ac:dyDescent="0.3">
      <c r="A666" s="18">
        <v>316</v>
      </c>
      <c r="B666" s="3" t="s">
        <v>16</v>
      </c>
      <c r="C666" s="6" t="s">
        <v>35</v>
      </c>
      <c r="D666" s="35" t="str">
        <f t="shared" si="25"/>
        <v/>
      </c>
      <c r="E666" s="5">
        <v>45777</v>
      </c>
      <c r="F666" s="6" t="s">
        <v>15</v>
      </c>
      <c r="G666" s="7">
        <v>1768482980</v>
      </c>
      <c r="H666" s="7">
        <v>1680006140</v>
      </c>
      <c r="I666" s="7">
        <f>OPERATORS[[#This Row],[Total Sales]]-OPERATORS[[#This Row],[Total Payouts]]</f>
        <v>88476840</v>
      </c>
      <c r="J666" s="7"/>
      <c r="K666" s="7">
        <v>26543052</v>
      </c>
      <c r="L666" s="8">
        <f>OPERATORS[[#This Row],[Withholding Tax]]+OPERATORS[[#This Row],[Gaming Tax]]</f>
        <v>26543052</v>
      </c>
      <c r="M666" s="41"/>
    </row>
    <row r="667" spans="1:13" ht="14" x14ac:dyDescent="0.3">
      <c r="A667" s="18">
        <f>ROW(A666)</f>
        <v>666</v>
      </c>
      <c r="B667" s="3" t="s">
        <v>12</v>
      </c>
      <c r="C667" s="6" t="s">
        <v>58</v>
      </c>
      <c r="D667" s="35" t="str">
        <f t="shared" si="25"/>
        <v/>
      </c>
      <c r="E667" s="5">
        <v>45777</v>
      </c>
      <c r="F667" s="6" t="s">
        <v>15</v>
      </c>
      <c r="G667" s="7">
        <v>8074198424</v>
      </c>
      <c r="H667" s="7">
        <v>7668974976</v>
      </c>
      <c r="I667" s="7">
        <f>OPERATORS[[#This Row],[Total Sales]]-OPERATORS[[#This Row],[Total Payouts]]</f>
        <v>405223448</v>
      </c>
      <c r="J667" s="7">
        <v>1150346246</v>
      </c>
      <c r="K667" s="7">
        <v>81044690</v>
      </c>
      <c r="L667" s="8">
        <v>1231390936</v>
      </c>
      <c r="M667" s="41"/>
    </row>
    <row r="668" spans="1:13" ht="14" x14ac:dyDescent="0.3">
      <c r="A668" s="18">
        <v>321</v>
      </c>
      <c r="B668" s="3" t="s">
        <v>16</v>
      </c>
      <c r="C668" s="6" t="s">
        <v>58</v>
      </c>
      <c r="D668" s="35" t="str">
        <f t="shared" si="25"/>
        <v/>
      </c>
      <c r="E668" s="5">
        <v>45777</v>
      </c>
      <c r="F668" s="6" t="s">
        <v>15</v>
      </c>
      <c r="G668" s="7">
        <v>4722305010</v>
      </c>
      <c r="H668" s="7">
        <v>4495883070</v>
      </c>
      <c r="I668" s="7">
        <f>OPERATORS[[#This Row],[Total Sales]]-OPERATORS[[#This Row],[Total Payouts]]</f>
        <v>226421940</v>
      </c>
      <c r="J668" s="7">
        <v>0</v>
      </c>
      <c r="K668" s="7">
        <v>67926582</v>
      </c>
      <c r="L668" s="8">
        <v>67926582</v>
      </c>
      <c r="M668" s="41"/>
    </row>
    <row r="669" spans="1:13" ht="14" x14ac:dyDescent="0.3">
      <c r="A669" s="18">
        <v>335</v>
      </c>
      <c r="B669" s="3" t="s">
        <v>12</v>
      </c>
      <c r="C669" s="20" t="s">
        <v>68</v>
      </c>
      <c r="D669" s="35" t="str">
        <f t="shared" si="25"/>
        <v/>
      </c>
      <c r="E669" s="5">
        <v>45777</v>
      </c>
      <c r="F669" s="6" t="s">
        <v>15</v>
      </c>
      <c r="G669" s="7">
        <v>24520036</v>
      </c>
      <c r="H669" s="7">
        <v>20686790</v>
      </c>
      <c r="I669" s="7">
        <f>OPERATORS[[#This Row],[Total Sales]]-OPERATORS[[#This Row],[Total Payouts]]</f>
        <v>3833246</v>
      </c>
      <c r="J669" s="7">
        <v>3103019</v>
      </c>
      <c r="K669" s="7">
        <v>1679021</v>
      </c>
      <c r="L669" s="8">
        <f>OPERATORS[[#This Row],[Withholding Tax]]+OPERATORS[[#This Row],[Gaming Tax]]</f>
        <v>4782040</v>
      </c>
      <c r="M669" s="41"/>
    </row>
    <row r="670" spans="1:13" ht="14" x14ac:dyDescent="0.3">
      <c r="A670" s="18">
        <f>ROW(A669)</f>
        <v>669</v>
      </c>
      <c r="B670" s="3" t="s">
        <v>17</v>
      </c>
      <c r="C670" s="20" t="s">
        <v>62</v>
      </c>
      <c r="D670" s="35" t="str">
        <f t="shared" si="25"/>
        <v/>
      </c>
      <c r="E670" s="5">
        <v>45777</v>
      </c>
      <c r="F670" s="6" t="s">
        <v>15</v>
      </c>
      <c r="G670" s="7">
        <v>1621312000</v>
      </c>
      <c r="H670" s="7">
        <v>1056430000</v>
      </c>
      <c r="I670" s="7">
        <v>564882000</v>
      </c>
      <c r="J670" s="7">
        <v>0</v>
      </c>
      <c r="K670" s="7">
        <v>169464600</v>
      </c>
      <c r="L670" s="8">
        <v>169464600</v>
      </c>
      <c r="M670" s="41"/>
    </row>
    <row r="671" spans="1:13" ht="14" x14ac:dyDescent="0.3">
      <c r="A671" s="18">
        <f>ROW(A670)</f>
        <v>670</v>
      </c>
      <c r="B671" s="3" t="s">
        <v>17</v>
      </c>
      <c r="C671" s="20" t="s">
        <v>62</v>
      </c>
      <c r="D671" s="20" t="str">
        <f t="shared" si="25"/>
        <v/>
      </c>
      <c r="E671" s="5">
        <v>45777</v>
      </c>
      <c r="F671" s="20" t="s">
        <v>15</v>
      </c>
      <c r="G671" s="7">
        <v>148012000</v>
      </c>
      <c r="H671" s="7">
        <v>63180000</v>
      </c>
      <c r="I671" s="7">
        <v>84832000</v>
      </c>
      <c r="J671" s="7"/>
      <c r="K671" s="7">
        <v>28371600</v>
      </c>
      <c r="L671" s="8">
        <v>169464600</v>
      </c>
      <c r="M671" s="41"/>
    </row>
    <row r="672" spans="1:13" ht="14" x14ac:dyDescent="0.3">
      <c r="A672" s="18">
        <f>ROW(A670)</f>
        <v>670</v>
      </c>
      <c r="B672" s="3" t="s">
        <v>12</v>
      </c>
      <c r="C672" s="20" t="s">
        <v>37</v>
      </c>
      <c r="D672" s="35" t="str">
        <f t="shared" si="25"/>
        <v/>
      </c>
      <c r="E672" s="5">
        <v>45808</v>
      </c>
      <c r="F672" s="20" t="s">
        <v>15</v>
      </c>
      <c r="G672" s="7">
        <v>1234401930</v>
      </c>
      <c r="H672" s="7">
        <v>1022886385</v>
      </c>
      <c r="I672" s="7">
        <v>211515545</v>
      </c>
      <c r="J672" s="7">
        <v>153432958</v>
      </c>
      <c r="K672" s="7">
        <v>52266914</v>
      </c>
      <c r="L672" s="8">
        <v>205699872</v>
      </c>
      <c r="M672" s="41"/>
    </row>
    <row r="673" spans="1:13" ht="14" x14ac:dyDescent="0.3">
      <c r="A673" s="18">
        <f t="shared" ref="A673:A697" si="26">ROW(A672)</f>
        <v>672</v>
      </c>
      <c r="B673" s="3" t="s">
        <v>12</v>
      </c>
      <c r="C673" s="20" t="s">
        <v>44</v>
      </c>
      <c r="D673" s="35" t="str">
        <f t="shared" si="25"/>
        <v/>
      </c>
      <c r="E673" s="5">
        <v>45808</v>
      </c>
      <c r="F673" s="20" t="s">
        <v>15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8">
        <f>OPERATORS[[#This Row],[Withholding Tax]]+OPERATORS[[#This Row],[Gaming Tax]]</f>
        <v>0</v>
      </c>
      <c r="M673" s="41"/>
    </row>
    <row r="674" spans="1:13" ht="14" x14ac:dyDescent="0.3">
      <c r="A674" s="18">
        <f t="shared" si="26"/>
        <v>673</v>
      </c>
      <c r="B674" s="3" t="s">
        <v>3</v>
      </c>
      <c r="C674" s="20" t="s">
        <v>44</v>
      </c>
      <c r="D674" s="35" t="str">
        <f t="shared" si="25"/>
        <v/>
      </c>
      <c r="E674" s="5">
        <v>45808</v>
      </c>
      <c r="F674" s="20" t="s">
        <v>15</v>
      </c>
      <c r="G674" s="7">
        <v>10861248</v>
      </c>
      <c r="H674" s="7">
        <v>10075794</v>
      </c>
      <c r="I674" s="7">
        <v>785454</v>
      </c>
      <c r="J674" s="7">
        <v>0</v>
      </c>
      <c r="K674" s="7">
        <v>282894</v>
      </c>
      <c r="L674" s="8">
        <v>282894</v>
      </c>
      <c r="M674" s="41"/>
    </row>
    <row r="675" spans="1:13" ht="14" x14ac:dyDescent="0.3">
      <c r="A675" s="18">
        <f t="shared" si="26"/>
        <v>674</v>
      </c>
      <c r="B675" s="3" t="s">
        <v>12</v>
      </c>
      <c r="C675" s="20" t="s">
        <v>78</v>
      </c>
      <c r="D675" s="35" t="str">
        <f t="shared" si="25"/>
        <v/>
      </c>
      <c r="E675" s="5">
        <v>45808</v>
      </c>
      <c r="F675" s="20" t="s">
        <v>15</v>
      </c>
      <c r="G675" s="7">
        <v>123338985</v>
      </c>
      <c r="H675" s="7">
        <v>100746966</v>
      </c>
      <c r="I675" s="7">
        <v>22592019</v>
      </c>
      <c r="J675" s="7">
        <v>15112045</v>
      </c>
      <c r="K675" s="7">
        <v>5577991</v>
      </c>
      <c r="L675" s="8">
        <v>20690036</v>
      </c>
      <c r="M675" s="41"/>
    </row>
    <row r="676" spans="1:13" ht="14" x14ac:dyDescent="0.3">
      <c r="A676" s="18">
        <f t="shared" si="26"/>
        <v>675</v>
      </c>
      <c r="B676" s="3" t="s">
        <v>12</v>
      </c>
      <c r="C676" s="20" t="s">
        <v>27</v>
      </c>
      <c r="D676" s="35" t="str">
        <f t="shared" si="25"/>
        <v/>
      </c>
      <c r="E676" s="5">
        <v>45808</v>
      </c>
      <c r="F676" s="20" t="s">
        <v>15</v>
      </c>
      <c r="G676" s="7">
        <v>0</v>
      </c>
      <c r="H676" s="7"/>
      <c r="I676" s="7"/>
      <c r="J676" s="7"/>
      <c r="K676" s="7"/>
      <c r="L676" s="8">
        <f>OPERATORS[[#This Row],[Withholding Tax]]+OPERATORS[[#This Row],[Gaming Tax]]</f>
        <v>0</v>
      </c>
      <c r="M676" s="41"/>
    </row>
    <row r="677" spans="1:13" ht="14" x14ac:dyDescent="0.3">
      <c r="A677" s="18">
        <f t="shared" si="26"/>
        <v>676</v>
      </c>
      <c r="B677" s="3" t="s">
        <v>16</v>
      </c>
      <c r="C677" s="20" t="s">
        <v>27</v>
      </c>
      <c r="D677" s="35" t="str">
        <f t="shared" si="25"/>
        <v/>
      </c>
      <c r="E677" s="5">
        <v>45808</v>
      </c>
      <c r="F677" s="20" t="s">
        <v>15</v>
      </c>
      <c r="G677" s="7">
        <v>191216994</v>
      </c>
      <c r="H677" s="7">
        <v>170542353</v>
      </c>
      <c r="I677" s="7">
        <v>20674641</v>
      </c>
      <c r="J677" s="7">
        <v>0</v>
      </c>
      <c r="K677" s="7">
        <v>6202392</v>
      </c>
      <c r="L677" s="8">
        <v>6202392</v>
      </c>
      <c r="M677" s="41"/>
    </row>
    <row r="678" spans="1:13" ht="14" x14ac:dyDescent="0.3">
      <c r="A678" s="18">
        <f t="shared" si="26"/>
        <v>677</v>
      </c>
      <c r="B678" s="3" t="s">
        <v>12</v>
      </c>
      <c r="C678" s="20" t="s">
        <v>55</v>
      </c>
      <c r="D678" s="35" t="str">
        <f t="shared" si="25"/>
        <v/>
      </c>
      <c r="E678" s="5">
        <v>45808</v>
      </c>
      <c r="F678" s="20" t="s">
        <v>15</v>
      </c>
      <c r="G678" s="7">
        <v>234239110</v>
      </c>
      <c r="H678" s="7">
        <v>164643585</v>
      </c>
      <c r="I678" s="7">
        <v>69595524</v>
      </c>
      <c r="J678" s="7">
        <v>24696538</v>
      </c>
      <c r="K678" s="7">
        <v>14068841</v>
      </c>
      <c r="L678" s="8">
        <v>38765379</v>
      </c>
      <c r="M678" s="41"/>
    </row>
    <row r="679" spans="1:13" ht="14" x14ac:dyDescent="0.3">
      <c r="A679" s="18">
        <f t="shared" si="26"/>
        <v>678</v>
      </c>
      <c r="B679" s="3" t="s">
        <v>3</v>
      </c>
      <c r="C679" s="20" t="s">
        <v>56</v>
      </c>
      <c r="D679" s="35">
        <v>1000035508</v>
      </c>
      <c r="E679" s="5">
        <v>45808</v>
      </c>
      <c r="F679" s="20" t="s">
        <v>15</v>
      </c>
      <c r="G679" s="7">
        <v>385802579</v>
      </c>
      <c r="H679" s="7">
        <f>OPERATORS[[#This Row],[Total Sales]]+OPERATORS[[#This Row],[Win/Loss]]</f>
        <v>771605158</v>
      </c>
      <c r="I679" s="7">
        <v>385802579</v>
      </c>
      <c r="J679" s="7">
        <v>0</v>
      </c>
      <c r="K679" s="7">
        <v>150919223</v>
      </c>
      <c r="L679" s="8">
        <v>150919223</v>
      </c>
      <c r="M679" s="41"/>
    </row>
    <row r="680" spans="1:13" ht="14" x14ac:dyDescent="0.3">
      <c r="A680" s="18">
        <f t="shared" si="26"/>
        <v>679</v>
      </c>
      <c r="B680" s="3" t="s">
        <v>12</v>
      </c>
      <c r="C680" s="20" t="s">
        <v>50</v>
      </c>
      <c r="D680" s="35" t="str">
        <f t="shared" ref="D680:D720" si="27">IFERROR(VLOOKUP(C680,OPerators_Range,2,FALSE),"")</f>
        <v/>
      </c>
      <c r="E680" s="5">
        <v>45808</v>
      </c>
      <c r="F680" s="20" t="s">
        <v>15</v>
      </c>
      <c r="G680" s="7">
        <v>109381654</v>
      </c>
      <c r="H680" s="7">
        <v>96155963</v>
      </c>
      <c r="I680" s="7">
        <v>13225691</v>
      </c>
      <c r="J680" s="7">
        <v>14423394</v>
      </c>
      <c r="K680" s="7">
        <v>4677420</v>
      </c>
      <c r="L680" s="8">
        <v>19100815</v>
      </c>
      <c r="M680" s="41"/>
    </row>
    <row r="681" spans="1:13" ht="14" x14ac:dyDescent="0.3">
      <c r="A681" s="18">
        <f t="shared" si="26"/>
        <v>680</v>
      </c>
      <c r="B681" s="3" t="s">
        <v>12</v>
      </c>
      <c r="C681" s="20" t="s">
        <v>50</v>
      </c>
      <c r="D681" s="35" t="str">
        <f t="shared" si="27"/>
        <v/>
      </c>
      <c r="E681" s="5">
        <v>45808</v>
      </c>
      <c r="F681" s="20" t="s">
        <v>15</v>
      </c>
      <c r="G681" s="7">
        <v>850391170</v>
      </c>
      <c r="H681" s="7">
        <v>809096859</v>
      </c>
      <c r="I681" s="7">
        <v>41294311</v>
      </c>
      <c r="J681" s="7">
        <v>0</v>
      </c>
      <c r="K681" s="7">
        <v>13379603</v>
      </c>
      <c r="L681" s="8">
        <v>13379603</v>
      </c>
      <c r="M681" s="41"/>
    </row>
    <row r="682" spans="1:13" ht="14" x14ac:dyDescent="0.3">
      <c r="A682" s="18">
        <f t="shared" si="26"/>
        <v>681</v>
      </c>
      <c r="B682" s="3" t="s">
        <v>16</v>
      </c>
      <c r="C682" s="20" t="s">
        <v>38</v>
      </c>
      <c r="D682" s="35" t="str">
        <f t="shared" si="27"/>
        <v/>
      </c>
      <c r="E682" s="5">
        <v>45808</v>
      </c>
      <c r="F682" s="20" t="s">
        <v>15</v>
      </c>
      <c r="G682" s="7">
        <v>185522223</v>
      </c>
      <c r="H682" s="7">
        <v>135986042</v>
      </c>
      <c r="I682" s="7">
        <v>49536181</v>
      </c>
      <c r="J682" s="7">
        <v>0</v>
      </c>
      <c r="K682" s="7">
        <v>14860854</v>
      </c>
      <c r="L682" s="8">
        <v>14860854</v>
      </c>
      <c r="M682" s="41"/>
    </row>
    <row r="683" spans="1:13" ht="14" x14ac:dyDescent="0.3">
      <c r="A683" s="18">
        <f t="shared" si="26"/>
        <v>682</v>
      </c>
      <c r="B683" s="3" t="s">
        <v>17</v>
      </c>
      <c r="C683" s="20" t="s">
        <v>62</v>
      </c>
      <c r="D683" s="35" t="str">
        <f t="shared" si="27"/>
        <v/>
      </c>
      <c r="E683" s="5">
        <v>45808</v>
      </c>
      <c r="F683" s="20" t="s">
        <v>15</v>
      </c>
      <c r="G683" s="7">
        <v>1131918000</v>
      </c>
      <c r="H683" s="7">
        <v>782961178</v>
      </c>
      <c r="I683" s="7">
        <v>348956822</v>
      </c>
      <c r="J683" s="7">
        <v>0</v>
      </c>
      <c r="K683" s="7">
        <v>104687047</v>
      </c>
      <c r="L683" s="8">
        <v>104687047</v>
      </c>
      <c r="M683" s="41"/>
    </row>
    <row r="684" spans="1:13" ht="14" x14ac:dyDescent="0.3">
      <c r="A684" s="18">
        <f t="shared" si="26"/>
        <v>683</v>
      </c>
      <c r="B684" s="3" t="s">
        <v>3</v>
      </c>
      <c r="C684" s="20" t="s">
        <v>57</v>
      </c>
      <c r="D684" s="35" t="str">
        <f t="shared" si="27"/>
        <v/>
      </c>
      <c r="E684" s="5">
        <v>45808</v>
      </c>
      <c r="F684" s="20" t="s">
        <v>15</v>
      </c>
      <c r="G684" s="7">
        <v>521462700</v>
      </c>
      <c r="H684" s="7">
        <v>408583997</v>
      </c>
      <c r="I684" s="7">
        <v>112878703</v>
      </c>
      <c r="J684" s="7">
        <v>0</v>
      </c>
      <c r="K684" s="7">
        <v>33863611</v>
      </c>
      <c r="L684" s="8">
        <v>33863611</v>
      </c>
      <c r="M684" s="41"/>
    </row>
    <row r="685" spans="1:13" ht="14" x14ac:dyDescent="0.3">
      <c r="A685" s="18">
        <f t="shared" si="26"/>
        <v>684</v>
      </c>
      <c r="B685" s="3" t="s">
        <v>12</v>
      </c>
      <c r="C685" s="20" t="s">
        <v>68</v>
      </c>
      <c r="D685" s="35" t="str">
        <f t="shared" si="27"/>
        <v/>
      </c>
      <c r="E685" s="5">
        <v>45808</v>
      </c>
      <c r="F685" s="20" t="s">
        <v>15</v>
      </c>
      <c r="G685" s="7">
        <v>25203193</v>
      </c>
      <c r="H685" s="7">
        <v>22211044</v>
      </c>
      <c r="I685" s="7">
        <v>2992149</v>
      </c>
      <c r="J685" s="7">
        <v>3331657</v>
      </c>
      <c r="K685" s="7">
        <v>1433119</v>
      </c>
      <c r="L685" s="8">
        <v>4764776</v>
      </c>
      <c r="M685" s="41"/>
    </row>
    <row r="686" spans="1:13" ht="14" x14ac:dyDescent="0.3">
      <c r="A686" s="18">
        <f t="shared" si="26"/>
        <v>685</v>
      </c>
      <c r="B686" s="3" t="s">
        <v>12</v>
      </c>
      <c r="C686" s="20" t="s">
        <v>72</v>
      </c>
      <c r="D686" s="35" t="str">
        <f t="shared" si="27"/>
        <v/>
      </c>
      <c r="E686" s="5">
        <v>45808</v>
      </c>
      <c r="F686" s="20" t="s">
        <v>15</v>
      </c>
      <c r="G686" s="7">
        <v>26539315</v>
      </c>
      <c r="H686" s="7">
        <v>22795426</v>
      </c>
      <c r="I686" s="7">
        <v>3743889</v>
      </c>
      <c r="J686" s="7">
        <v>3419314</v>
      </c>
      <c r="K686" s="7">
        <v>978295</v>
      </c>
      <c r="L686" s="8">
        <v>4397609</v>
      </c>
      <c r="M686" s="41"/>
    </row>
    <row r="687" spans="1:13" ht="14" x14ac:dyDescent="0.3">
      <c r="A687" s="18">
        <f t="shared" si="26"/>
        <v>686</v>
      </c>
      <c r="B687" s="3" t="s">
        <v>16</v>
      </c>
      <c r="C687" s="20" t="s">
        <v>72</v>
      </c>
      <c r="D687" s="35" t="str">
        <f t="shared" si="27"/>
        <v/>
      </c>
      <c r="E687" s="5">
        <v>45808</v>
      </c>
      <c r="F687" s="20" t="s">
        <v>15</v>
      </c>
      <c r="G687" s="7">
        <v>54837440</v>
      </c>
      <c r="H687" s="7">
        <v>51396329</v>
      </c>
      <c r="I687" s="7">
        <v>3441111</v>
      </c>
      <c r="J687" s="7">
        <v>0</v>
      </c>
      <c r="K687" s="7">
        <v>1129126</v>
      </c>
      <c r="L687" s="8">
        <v>1129126</v>
      </c>
      <c r="M687" s="41"/>
    </row>
    <row r="688" spans="1:13" ht="14" x14ac:dyDescent="0.3">
      <c r="A688" s="18">
        <f t="shared" si="26"/>
        <v>687</v>
      </c>
      <c r="B688" s="3" t="s">
        <v>12</v>
      </c>
      <c r="C688" s="20" t="s">
        <v>70</v>
      </c>
      <c r="D688" s="35" t="str">
        <f t="shared" si="27"/>
        <v/>
      </c>
      <c r="E688" s="5">
        <v>45808</v>
      </c>
      <c r="F688" s="20" t="s">
        <v>15</v>
      </c>
      <c r="G688" s="7">
        <v>7448579584</v>
      </c>
      <c r="H688" s="7">
        <v>6671962269</v>
      </c>
      <c r="I688" s="7">
        <v>776617315</v>
      </c>
      <c r="J688" s="7">
        <v>1000794340</v>
      </c>
      <c r="K688" s="7">
        <v>156122018</v>
      </c>
      <c r="L688" s="8">
        <v>1156916358</v>
      </c>
      <c r="M688" s="41"/>
    </row>
    <row r="689" spans="1:13" ht="14" x14ac:dyDescent="0.3">
      <c r="A689" s="18">
        <f t="shared" si="26"/>
        <v>688</v>
      </c>
      <c r="B689" s="3" t="s">
        <v>3</v>
      </c>
      <c r="C689" s="20" t="s">
        <v>70</v>
      </c>
      <c r="D689" s="35" t="str">
        <f t="shared" si="27"/>
        <v/>
      </c>
      <c r="E689" s="5">
        <v>45808</v>
      </c>
      <c r="F689" s="20" t="s">
        <v>15</v>
      </c>
      <c r="G689" s="7">
        <v>8668549415</v>
      </c>
      <c r="H689" s="7">
        <v>8343337581</v>
      </c>
      <c r="I689" s="7">
        <v>325211834</v>
      </c>
      <c r="J689" s="7">
        <v>0</v>
      </c>
      <c r="K689" s="7">
        <v>108466988</v>
      </c>
      <c r="L689" s="8">
        <v>108466988</v>
      </c>
      <c r="M689" s="41"/>
    </row>
    <row r="690" spans="1:13" ht="14" x14ac:dyDescent="0.3">
      <c r="A690" s="18">
        <f t="shared" si="26"/>
        <v>689</v>
      </c>
      <c r="B690" s="3" t="s">
        <v>12</v>
      </c>
      <c r="C690" s="20" t="s">
        <v>45</v>
      </c>
      <c r="D690" s="35" t="str">
        <f t="shared" si="27"/>
        <v/>
      </c>
      <c r="E690" s="5">
        <v>45808</v>
      </c>
      <c r="F690" s="20" t="s">
        <v>15</v>
      </c>
      <c r="G690" s="7">
        <v>3391154194</v>
      </c>
      <c r="H690" s="7">
        <v>2348557480</v>
      </c>
      <c r="I690" s="7">
        <v>1042596714</v>
      </c>
      <c r="J690" s="7">
        <v>352283622</v>
      </c>
      <c r="K690" s="7">
        <v>208529913</v>
      </c>
      <c r="L690" s="8">
        <v>560813535</v>
      </c>
      <c r="M690" s="41"/>
    </row>
    <row r="691" spans="1:13" ht="14" x14ac:dyDescent="0.3">
      <c r="A691" s="18">
        <f t="shared" si="26"/>
        <v>690</v>
      </c>
      <c r="B691" s="3" t="s">
        <v>16</v>
      </c>
      <c r="C691" s="20" t="s">
        <v>45</v>
      </c>
      <c r="D691" s="35" t="str">
        <f t="shared" si="27"/>
        <v/>
      </c>
      <c r="E691" s="5">
        <v>45808</v>
      </c>
      <c r="F691" s="20" t="s">
        <v>15</v>
      </c>
      <c r="G691" s="7">
        <v>6539045592</v>
      </c>
      <c r="H691" s="7">
        <v>5812170690</v>
      </c>
      <c r="I691" s="7">
        <v>726874902</v>
      </c>
      <c r="J691" s="7">
        <v>0</v>
      </c>
      <c r="K691" s="7">
        <v>218062471</v>
      </c>
      <c r="L691" s="8">
        <v>218062471</v>
      </c>
      <c r="M691" s="41"/>
    </row>
    <row r="692" spans="1:13" ht="14" x14ac:dyDescent="0.3">
      <c r="A692" s="18">
        <f t="shared" si="26"/>
        <v>691</v>
      </c>
      <c r="B692" s="3" t="s">
        <v>3</v>
      </c>
      <c r="C692" s="20" t="s">
        <v>51</v>
      </c>
      <c r="D692" s="35" t="str">
        <f t="shared" si="27"/>
        <v/>
      </c>
      <c r="E692" s="5">
        <v>45808</v>
      </c>
      <c r="F692" s="20" t="s">
        <v>15</v>
      </c>
      <c r="G692" s="7">
        <v>1211344271</v>
      </c>
      <c r="H692" s="7">
        <v>16668914</v>
      </c>
      <c r="I692" s="7">
        <v>1228013185</v>
      </c>
      <c r="J692" s="7">
        <v>0</v>
      </c>
      <c r="K692" s="7">
        <v>371202447</v>
      </c>
      <c r="L692" s="8">
        <v>371202447</v>
      </c>
      <c r="M692" s="41"/>
    </row>
    <row r="693" spans="1:13" ht="14" x14ac:dyDescent="0.3">
      <c r="A693" s="18">
        <f t="shared" si="26"/>
        <v>692</v>
      </c>
      <c r="B693" s="3" t="s">
        <v>16</v>
      </c>
      <c r="C693" s="20" t="s">
        <v>69</v>
      </c>
      <c r="D693" s="35" t="str">
        <f t="shared" si="27"/>
        <v/>
      </c>
      <c r="E693" s="5">
        <v>45808</v>
      </c>
      <c r="F693" s="20" t="s">
        <v>15</v>
      </c>
      <c r="G693" s="7">
        <v>638785500</v>
      </c>
      <c r="H693" s="7">
        <v>526459356</v>
      </c>
      <c r="I693" s="7">
        <v>112326144</v>
      </c>
      <c r="J693" s="7">
        <v>0</v>
      </c>
      <c r="K693" s="7">
        <v>33697843</v>
      </c>
      <c r="L693" s="8">
        <v>33697843</v>
      </c>
      <c r="M693" s="41"/>
    </row>
    <row r="694" spans="1:13" ht="14" x14ac:dyDescent="0.3">
      <c r="A694" s="18">
        <f t="shared" si="26"/>
        <v>693</v>
      </c>
      <c r="B694" s="3" t="s">
        <v>3</v>
      </c>
      <c r="C694" s="20" t="s">
        <v>52</v>
      </c>
      <c r="D694" s="35" t="str">
        <f t="shared" si="27"/>
        <v/>
      </c>
      <c r="E694" s="5">
        <v>45808</v>
      </c>
      <c r="F694" s="20" t="s">
        <v>15</v>
      </c>
      <c r="G694" s="7">
        <v>210911420</v>
      </c>
      <c r="H694" s="7">
        <v>134259335</v>
      </c>
      <c r="I694" s="7">
        <v>76652085</v>
      </c>
      <c r="J694" s="7">
        <v>0</v>
      </c>
      <c r="K694" s="7">
        <v>23288350</v>
      </c>
      <c r="L694" s="8">
        <v>23288350</v>
      </c>
      <c r="M694" s="41"/>
    </row>
    <row r="695" spans="1:13" ht="14" x14ac:dyDescent="0.3">
      <c r="A695" s="18">
        <f t="shared" si="26"/>
        <v>694</v>
      </c>
      <c r="B695" s="3" t="s">
        <v>12</v>
      </c>
      <c r="C695" s="20" t="s">
        <v>46</v>
      </c>
      <c r="D695" s="35" t="str">
        <f t="shared" si="27"/>
        <v/>
      </c>
      <c r="E695" s="5">
        <v>45808</v>
      </c>
      <c r="F695" s="20" t="s">
        <v>15</v>
      </c>
      <c r="G695" s="7">
        <v>246911357</v>
      </c>
      <c r="H695" s="7">
        <v>114772744</v>
      </c>
      <c r="I695" s="7">
        <v>132138613</v>
      </c>
      <c r="J695" s="7">
        <v>17215912</v>
      </c>
      <c r="K695" s="7">
        <v>26427723</v>
      </c>
      <c r="L695" s="8">
        <v>43643634</v>
      </c>
      <c r="M695" s="41"/>
    </row>
    <row r="696" spans="1:13" ht="14" x14ac:dyDescent="0.3">
      <c r="A696" s="18">
        <f t="shared" si="26"/>
        <v>695</v>
      </c>
      <c r="B696" s="3" t="s">
        <v>16</v>
      </c>
      <c r="C696" s="20" t="s">
        <v>46</v>
      </c>
      <c r="D696" s="35" t="str">
        <f t="shared" si="27"/>
        <v/>
      </c>
      <c r="E696" s="5">
        <v>45808</v>
      </c>
      <c r="F696" s="20" t="s">
        <v>15</v>
      </c>
      <c r="G696" s="7">
        <v>2877071997</v>
      </c>
      <c r="H696" s="7">
        <v>2662264721</v>
      </c>
      <c r="I696" s="7">
        <v>214807276</v>
      </c>
      <c r="J696" s="7">
        <v>0</v>
      </c>
      <c r="K696" s="7">
        <v>64442183</v>
      </c>
      <c r="L696" s="8">
        <v>64442183</v>
      </c>
      <c r="M696" s="41"/>
    </row>
    <row r="697" spans="1:13" ht="14" x14ac:dyDescent="0.3">
      <c r="A697" s="18">
        <f t="shared" si="26"/>
        <v>696</v>
      </c>
      <c r="B697" s="3" t="s">
        <v>3</v>
      </c>
      <c r="C697" s="20" t="s">
        <v>48</v>
      </c>
      <c r="D697" s="35" t="str">
        <f t="shared" si="27"/>
        <v/>
      </c>
      <c r="E697" s="5">
        <v>45808</v>
      </c>
      <c r="F697" s="20" t="s">
        <v>15</v>
      </c>
      <c r="G697" s="7">
        <v>871573000</v>
      </c>
      <c r="H697" s="7">
        <v>11779000</v>
      </c>
      <c r="I697" s="7">
        <v>859794000</v>
      </c>
      <c r="J697" s="7">
        <v>0</v>
      </c>
      <c r="K697" s="7">
        <v>261471900</v>
      </c>
      <c r="L697" s="8">
        <v>261471900</v>
      </c>
      <c r="M697" s="41"/>
    </row>
    <row r="698" spans="1:13" ht="14" x14ac:dyDescent="0.3">
      <c r="A698" s="18" t="e">
        <f>ROW(#REF!)</f>
        <v>#REF!</v>
      </c>
      <c r="B698" s="3" t="s">
        <v>3</v>
      </c>
      <c r="C698" s="20" t="s">
        <v>41</v>
      </c>
      <c r="D698" s="35" t="str">
        <f t="shared" si="27"/>
        <v/>
      </c>
      <c r="E698" s="5">
        <v>45808</v>
      </c>
      <c r="F698" s="20" t="s">
        <v>15</v>
      </c>
      <c r="G698" s="7">
        <v>382153886278</v>
      </c>
      <c r="H698" s="7">
        <v>376421577982</v>
      </c>
      <c r="I698" s="7">
        <v>5732308296</v>
      </c>
      <c r="J698" s="7">
        <v>0</v>
      </c>
      <c r="K698" s="7">
        <v>1719692489</v>
      </c>
      <c r="L698" s="8">
        <f>OPERATORS[[#This Row],[Withholding Tax]]+OPERATORS[[#This Row],[Gaming Tax]]</f>
        <v>1719692489</v>
      </c>
      <c r="M698" s="41"/>
    </row>
    <row r="699" spans="1:13" ht="14" x14ac:dyDescent="0.3">
      <c r="A699" s="18">
        <f t="shared" ref="A699:A730" si="28">ROW(A698)</f>
        <v>698</v>
      </c>
      <c r="B699" s="3" t="s">
        <v>12</v>
      </c>
      <c r="C699" s="20" t="s">
        <v>41</v>
      </c>
      <c r="D699" s="35" t="str">
        <f t="shared" si="27"/>
        <v/>
      </c>
      <c r="E699" s="5">
        <v>45808</v>
      </c>
      <c r="F699" s="20" t="s">
        <v>15</v>
      </c>
      <c r="G699" s="7">
        <v>289678274469</v>
      </c>
      <c r="H699" s="7">
        <v>262961355844</v>
      </c>
      <c r="I699" s="7">
        <v>26716918625</v>
      </c>
      <c r="J699" s="7">
        <v>39444203377</v>
      </c>
      <c r="K699" s="7">
        <v>5343383725</v>
      </c>
      <c r="L699" s="8">
        <f>OPERATORS[[#This Row],[Withholding Tax]]+OPERATORS[[#This Row],[Gaming Tax]]</f>
        <v>44787587102</v>
      </c>
      <c r="M699" s="41"/>
    </row>
    <row r="700" spans="1:13" ht="14" x14ac:dyDescent="0.3">
      <c r="A700" s="18">
        <f t="shared" si="28"/>
        <v>699</v>
      </c>
      <c r="B700" s="3" t="s">
        <v>16</v>
      </c>
      <c r="C700" s="20" t="s">
        <v>33</v>
      </c>
      <c r="D700" s="35" t="str">
        <f t="shared" si="27"/>
        <v/>
      </c>
      <c r="E700" s="5">
        <v>45808</v>
      </c>
      <c r="F700" s="20" t="s">
        <v>15</v>
      </c>
      <c r="G700" s="7">
        <v>587305000</v>
      </c>
      <c r="H700" s="7">
        <v>588767000</v>
      </c>
      <c r="I700" s="7">
        <v>-1462000</v>
      </c>
      <c r="J700" s="7">
        <v>0</v>
      </c>
      <c r="K700" s="7">
        <v>5835000</v>
      </c>
      <c r="L700" s="8">
        <v>5835000</v>
      </c>
      <c r="M700" s="41"/>
    </row>
    <row r="701" spans="1:13" ht="14" x14ac:dyDescent="0.3">
      <c r="A701" s="18">
        <f t="shared" si="28"/>
        <v>700</v>
      </c>
      <c r="B701" s="3" t="s">
        <v>17</v>
      </c>
      <c r="C701" s="20" t="s">
        <v>34</v>
      </c>
      <c r="D701" s="35" t="str">
        <f t="shared" si="27"/>
        <v/>
      </c>
      <c r="E701" s="5">
        <v>45808</v>
      </c>
      <c r="F701" s="20" t="s">
        <v>15</v>
      </c>
      <c r="G701" s="7">
        <v>518664000</v>
      </c>
      <c r="H701" s="7">
        <v>479000000</v>
      </c>
      <c r="I701" s="7">
        <v>39664000</v>
      </c>
      <c r="J701" s="7">
        <v>0</v>
      </c>
      <c r="K701" s="7">
        <v>11899200</v>
      </c>
      <c r="L701" s="8">
        <f>OPERATORS[[#This Row],[Withholding Tax]]+OPERATORS[[#This Row],[Gaming Tax]]</f>
        <v>11899200</v>
      </c>
      <c r="M701" s="41"/>
    </row>
    <row r="702" spans="1:13" ht="14" x14ac:dyDescent="0.3">
      <c r="A702" s="18">
        <f t="shared" si="28"/>
        <v>701</v>
      </c>
      <c r="B702" s="3" t="s">
        <v>16</v>
      </c>
      <c r="C702" s="20" t="s">
        <v>61</v>
      </c>
      <c r="D702" s="35" t="str">
        <f t="shared" si="27"/>
        <v/>
      </c>
      <c r="E702" s="5">
        <v>45808</v>
      </c>
      <c r="F702" s="20" t="s">
        <v>15</v>
      </c>
      <c r="G702" s="7">
        <v>2052861158</v>
      </c>
      <c r="H702" s="7">
        <v>1904978799</v>
      </c>
      <c r="I702" s="7">
        <v>147882359</v>
      </c>
      <c r="J702" s="7">
        <v>0</v>
      </c>
      <c r="K702" s="7">
        <v>44364708</v>
      </c>
      <c r="L702" s="8">
        <f>OPERATORS[[#This Row],[Withholding Tax]]+OPERATORS[[#This Row],[Gaming Tax]]</f>
        <v>44364708</v>
      </c>
      <c r="M702" s="41"/>
    </row>
    <row r="703" spans="1:13" ht="14" x14ac:dyDescent="0.3">
      <c r="A703" s="18">
        <f t="shared" si="28"/>
        <v>702</v>
      </c>
      <c r="B703" s="3" t="s">
        <v>12</v>
      </c>
      <c r="C703" s="20" t="s">
        <v>61</v>
      </c>
      <c r="D703" s="35" t="str">
        <f t="shared" si="27"/>
        <v/>
      </c>
      <c r="E703" s="5">
        <v>45808</v>
      </c>
      <c r="F703" s="20" t="s">
        <v>15</v>
      </c>
      <c r="G703" s="7">
        <v>1008866607</v>
      </c>
      <c r="H703" s="7">
        <v>623124348</v>
      </c>
      <c r="I703" s="7">
        <v>385742259</v>
      </c>
      <c r="J703" s="7">
        <v>93468652</v>
      </c>
      <c r="K703" s="7">
        <v>77148452</v>
      </c>
      <c r="L703" s="8">
        <f>OPERATORS[[#This Row],[Withholding Tax]]+OPERATORS[[#This Row],[Gaming Tax]]</f>
        <v>170617104</v>
      </c>
      <c r="M703" s="41"/>
    </row>
    <row r="704" spans="1:13" ht="14" x14ac:dyDescent="0.3">
      <c r="A704" s="18">
        <f t="shared" si="28"/>
        <v>703</v>
      </c>
      <c r="B704" s="3" t="s">
        <v>3</v>
      </c>
      <c r="C704" s="20" t="s">
        <v>66</v>
      </c>
      <c r="D704" s="35" t="str">
        <f t="shared" si="27"/>
        <v/>
      </c>
      <c r="E704" s="5">
        <v>45808</v>
      </c>
      <c r="F704" s="20" t="s">
        <v>15</v>
      </c>
      <c r="G704" s="7">
        <v>13266305</v>
      </c>
      <c r="H704" s="7">
        <v>12085760</v>
      </c>
      <c r="I704" s="7">
        <v>1280445</v>
      </c>
      <c r="J704" s="7">
        <v>0</v>
      </c>
      <c r="K704" s="7">
        <v>384134</v>
      </c>
      <c r="L704" s="8">
        <f>OPERATORS[[#This Row],[Withholding Tax]]+OPERATORS[[#This Row],[Gaming Tax]]</f>
        <v>384134</v>
      </c>
      <c r="M704" s="41"/>
    </row>
    <row r="705" spans="1:13" ht="14" x14ac:dyDescent="0.3">
      <c r="A705" s="18">
        <f t="shared" si="28"/>
        <v>704</v>
      </c>
      <c r="B705" s="3" t="s">
        <v>3</v>
      </c>
      <c r="C705" s="20" t="s">
        <v>71</v>
      </c>
      <c r="D705" s="35" t="str">
        <f t="shared" si="27"/>
        <v/>
      </c>
      <c r="E705" s="5">
        <v>45808</v>
      </c>
      <c r="F705" s="20" t="s">
        <v>15</v>
      </c>
      <c r="G705" s="7">
        <v>229727000</v>
      </c>
      <c r="H705" s="7">
        <v>73377000</v>
      </c>
      <c r="I705" s="7">
        <v>156350000</v>
      </c>
      <c r="J705" s="7">
        <v>0</v>
      </c>
      <c r="K705" s="7">
        <v>46905000</v>
      </c>
      <c r="L705" s="8">
        <f>OPERATORS[[#This Row],[Withholding Tax]]+OPERATORS[[#This Row],[Gaming Tax]]</f>
        <v>46905000</v>
      </c>
      <c r="M705" s="41"/>
    </row>
    <row r="706" spans="1:13" ht="14" x14ac:dyDescent="0.3">
      <c r="A706" s="18">
        <f t="shared" si="28"/>
        <v>705</v>
      </c>
      <c r="B706" s="3" t="s">
        <v>12</v>
      </c>
      <c r="C706" s="20" t="s">
        <v>60</v>
      </c>
      <c r="D706" s="35" t="str">
        <f t="shared" si="27"/>
        <v/>
      </c>
      <c r="E706" s="5">
        <v>45808</v>
      </c>
      <c r="F706" s="20" t="s">
        <v>15</v>
      </c>
      <c r="G706" s="7">
        <v>13787515575</v>
      </c>
      <c r="H706" s="7">
        <v>11937711310</v>
      </c>
      <c r="I706" s="7">
        <v>1849804265</v>
      </c>
      <c r="J706" s="7">
        <v>1790656697</v>
      </c>
      <c r="K706" s="7">
        <v>388689641</v>
      </c>
      <c r="L706" s="8">
        <f>OPERATORS[[#This Row],[Withholding Tax]]+OPERATORS[[#This Row],[Gaming Tax]]</f>
        <v>2179346338</v>
      </c>
      <c r="M706" s="41"/>
    </row>
    <row r="707" spans="1:13" ht="14" x14ac:dyDescent="0.3">
      <c r="A707" s="18">
        <f t="shared" si="28"/>
        <v>706</v>
      </c>
      <c r="B707" s="3" t="s">
        <v>16</v>
      </c>
      <c r="C707" s="20" t="s">
        <v>60</v>
      </c>
      <c r="D707" s="35" t="str">
        <f t="shared" si="27"/>
        <v/>
      </c>
      <c r="E707" s="5">
        <v>45808</v>
      </c>
      <c r="F707" s="20" t="s">
        <v>15</v>
      </c>
      <c r="G707" s="7">
        <v>103919021062</v>
      </c>
      <c r="H707" s="7">
        <v>98562258543</v>
      </c>
      <c r="I707" s="7">
        <v>5356762519</v>
      </c>
      <c r="J707" s="7">
        <v>0</v>
      </c>
      <c r="K707" s="7">
        <v>1618355602</v>
      </c>
      <c r="L707" s="8">
        <f>OPERATORS[[#This Row],[Withholding Tax]]+OPERATORS[[#This Row],[Gaming Tax]]</f>
        <v>1618355602</v>
      </c>
      <c r="M707" s="41"/>
    </row>
    <row r="708" spans="1:13" ht="14" x14ac:dyDescent="0.3">
      <c r="A708" s="18">
        <f t="shared" si="28"/>
        <v>707</v>
      </c>
      <c r="B708" s="3" t="s">
        <v>16</v>
      </c>
      <c r="C708" s="20" t="s">
        <v>36</v>
      </c>
      <c r="D708" s="35" t="str">
        <f t="shared" si="27"/>
        <v/>
      </c>
      <c r="E708" s="5">
        <v>45808</v>
      </c>
      <c r="F708" s="20" t="s">
        <v>15</v>
      </c>
      <c r="G708" s="7">
        <v>264160500</v>
      </c>
      <c r="H708" s="7">
        <v>217561294</v>
      </c>
      <c r="I708" s="7">
        <v>46599206</v>
      </c>
      <c r="J708" s="7">
        <v>0</v>
      </c>
      <c r="K708" s="7">
        <v>13979762</v>
      </c>
      <c r="L708" s="8">
        <v>13979762</v>
      </c>
      <c r="M708" s="41"/>
    </row>
    <row r="709" spans="1:13" ht="14" x14ac:dyDescent="0.3">
      <c r="A709" s="18">
        <f t="shared" si="28"/>
        <v>708</v>
      </c>
      <c r="B709" s="3" t="s">
        <v>12</v>
      </c>
      <c r="C709" s="20" t="s">
        <v>36</v>
      </c>
      <c r="D709" s="35" t="str">
        <f t="shared" si="27"/>
        <v/>
      </c>
      <c r="E709" s="5">
        <v>45808</v>
      </c>
      <c r="F709" s="20" t="s">
        <v>15</v>
      </c>
      <c r="G709" s="7">
        <v>57695002</v>
      </c>
      <c r="H709" s="7">
        <v>67987323</v>
      </c>
      <c r="I709" s="7">
        <v>-10292321</v>
      </c>
      <c r="J709" s="7">
        <v>10198098</v>
      </c>
      <c r="K709" s="7">
        <v>2170298</v>
      </c>
      <c r="L709" s="8">
        <v>12368396</v>
      </c>
      <c r="M709" s="41"/>
    </row>
    <row r="710" spans="1:13" ht="14" x14ac:dyDescent="0.3">
      <c r="A710" s="18">
        <f t="shared" si="28"/>
        <v>709</v>
      </c>
      <c r="B710" s="3" t="s">
        <v>3</v>
      </c>
      <c r="C710" s="20" t="s">
        <v>28</v>
      </c>
      <c r="D710" s="35" t="str">
        <f t="shared" si="27"/>
        <v/>
      </c>
      <c r="E710" s="5">
        <v>45808</v>
      </c>
      <c r="F710" s="20" t="s">
        <v>15</v>
      </c>
      <c r="G710" s="7">
        <v>9798282524</v>
      </c>
      <c r="H710" s="7">
        <v>9460724214</v>
      </c>
      <c r="I710" s="7">
        <v>337558310</v>
      </c>
      <c r="J710" s="7">
        <v>0</v>
      </c>
      <c r="K710" s="7">
        <v>101267493</v>
      </c>
      <c r="L710" s="8">
        <v>101267493</v>
      </c>
      <c r="M710" s="41"/>
    </row>
    <row r="711" spans="1:13" ht="14" x14ac:dyDescent="0.3">
      <c r="A711" s="18">
        <f t="shared" si="28"/>
        <v>710</v>
      </c>
      <c r="B711" s="3" t="s">
        <v>12</v>
      </c>
      <c r="C711" s="20" t="s">
        <v>28</v>
      </c>
      <c r="D711" s="35" t="str">
        <f t="shared" si="27"/>
        <v/>
      </c>
      <c r="E711" s="5">
        <v>45808</v>
      </c>
      <c r="F711" s="20" t="s">
        <v>15</v>
      </c>
      <c r="G711" s="7">
        <v>1473880073</v>
      </c>
      <c r="H711" s="7">
        <v>1055433870</v>
      </c>
      <c r="I711" s="7">
        <v>418446203</v>
      </c>
      <c r="J711" s="7">
        <v>158315081</v>
      </c>
      <c r="K711" s="7">
        <v>83689241</v>
      </c>
      <c r="L711" s="8">
        <v>242004321</v>
      </c>
      <c r="M711" s="41"/>
    </row>
    <row r="712" spans="1:13" ht="14" x14ac:dyDescent="0.3">
      <c r="A712" s="18">
        <f t="shared" si="28"/>
        <v>711</v>
      </c>
      <c r="B712" s="3" t="s">
        <v>12</v>
      </c>
      <c r="C712" s="20" t="s">
        <v>30</v>
      </c>
      <c r="D712" s="35" t="str">
        <f t="shared" si="27"/>
        <v/>
      </c>
      <c r="E712" s="5">
        <v>45808</v>
      </c>
      <c r="F712" s="20" t="s">
        <v>15</v>
      </c>
      <c r="G712" s="7">
        <v>6679307</v>
      </c>
      <c r="H712" s="7">
        <v>4539032</v>
      </c>
      <c r="I712" s="7">
        <v>2140275</v>
      </c>
      <c r="J712" s="7">
        <v>680855</v>
      </c>
      <c r="K712" s="7">
        <v>465003</v>
      </c>
      <c r="L712" s="8">
        <v>1145858</v>
      </c>
      <c r="M712" s="41"/>
    </row>
    <row r="713" spans="1:13" ht="14" x14ac:dyDescent="0.3">
      <c r="A713" s="18">
        <f t="shared" si="28"/>
        <v>712</v>
      </c>
      <c r="B713" s="3" t="s">
        <v>16</v>
      </c>
      <c r="C713" s="20" t="s">
        <v>59</v>
      </c>
      <c r="D713" s="35" t="str">
        <f t="shared" si="27"/>
        <v/>
      </c>
      <c r="E713" s="5">
        <v>45808</v>
      </c>
      <c r="F713" s="20" t="s">
        <v>15</v>
      </c>
      <c r="G713" s="7">
        <v>87935500</v>
      </c>
      <c r="H713" s="7">
        <v>70278220</v>
      </c>
      <c r="I713" s="7">
        <v>17657280</v>
      </c>
      <c r="J713" s="7">
        <v>0</v>
      </c>
      <c r="K713" s="7">
        <v>5426292</v>
      </c>
      <c r="L713" s="8">
        <v>5426292</v>
      </c>
      <c r="M713" s="41"/>
    </row>
    <row r="714" spans="1:13" ht="14" x14ac:dyDescent="0.3">
      <c r="A714" s="18">
        <f t="shared" si="28"/>
        <v>713</v>
      </c>
      <c r="B714" s="3" t="s">
        <v>3</v>
      </c>
      <c r="C714" s="20" t="s">
        <v>61</v>
      </c>
      <c r="D714" s="35" t="str">
        <f t="shared" si="27"/>
        <v/>
      </c>
      <c r="E714" s="5">
        <v>45808</v>
      </c>
      <c r="F714" s="20" t="s">
        <v>15</v>
      </c>
      <c r="G714" s="7">
        <v>8070545850</v>
      </c>
      <c r="H714" s="7">
        <v>8123194650</v>
      </c>
      <c r="I714" s="7">
        <v>-52648800</v>
      </c>
      <c r="J714" s="7">
        <v>0</v>
      </c>
      <c r="K714" s="7">
        <v>39151881</v>
      </c>
      <c r="L714" s="8">
        <v>39151881</v>
      </c>
      <c r="M714" s="41"/>
    </row>
    <row r="715" spans="1:13" ht="14" x14ac:dyDescent="0.3">
      <c r="A715" s="18">
        <f t="shared" si="28"/>
        <v>714</v>
      </c>
      <c r="B715" s="3" t="s">
        <v>12</v>
      </c>
      <c r="C715" s="20" t="s">
        <v>65</v>
      </c>
      <c r="D715" s="35" t="str">
        <f t="shared" si="27"/>
        <v/>
      </c>
      <c r="E715" s="5">
        <v>45808</v>
      </c>
      <c r="F715" s="20" t="s">
        <v>15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8">
        <f>OPERATORS[[#This Row],[Withholding Tax]]+OPERATORS[[#This Row],[Gaming Tax]]</f>
        <v>0</v>
      </c>
      <c r="M715" s="41"/>
    </row>
    <row r="716" spans="1:13" ht="14" x14ac:dyDescent="0.3">
      <c r="A716" s="18">
        <f t="shared" si="28"/>
        <v>715</v>
      </c>
      <c r="B716" s="3" t="s">
        <v>3</v>
      </c>
      <c r="C716" s="20" t="s">
        <v>65</v>
      </c>
      <c r="D716" s="35" t="str">
        <f t="shared" si="27"/>
        <v/>
      </c>
      <c r="E716" s="5">
        <v>45808</v>
      </c>
      <c r="F716" s="20" t="s">
        <v>15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8">
        <f>OPERATORS[[#This Row],[Withholding Tax]]+OPERATORS[[#This Row],[Gaming Tax]]</f>
        <v>0</v>
      </c>
      <c r="M716" s="41"/>
    </row>
    <row r="717" spans="1:13" ht="14" x14ac:dyDescent="0.3">
      <c r="A717" s="18">
        <f t="shared" si="28"/>
        <v>716</v>
      </c>
      <c r="B717" s="3" t="s">
        <v>12</v>
      </c>
      <c r="C717" s="20" t="s">
        <v>73</v>
      </c>
      <c r="D717" s="35" t="str">
        <f t="shared" si="27"/>
        <v/>
      </c>
      <c r="E717" s="5">
        <v>45808</v>
      </c>
      <c r="F717" s="20" t="s">
        <v>15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8">
        <f>OPERATORS[[#This Row],[Withholding Tax]]+OPERATORS[[#This Row],[Gaming Tax]]</f>
        <v>0</v>
      </c>
      <c r="M717" s="41"/>
    </row>
    <row r="718" spans="1:13" ht="14" x14ac:dyDescent="0.3">
      <c r="A718" s="18">
        <f t="shared" si="28"/>
        <v>717</v>
      </c>
      <c r="B718" s="3" t="s">
        <v>3</v>
      </c>
      <c r="C718" s="20" t="s">
        <v>73</v>
      </c>
      <c r="D718" s="35" t="str">
        <f t="shared" si="27"/>
        <v/>
      </c>
      <c r="E718" s="5">
        <v>45808</v>
      </c>
      <c r="F718" s="20" t="s">
        <v>15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8">
        <f>OPERATORS[[#This Row],[Withholding Tax]]+OPERATORS[[#This Row],[Gaming Tax]]</f>
        <v>0</v>
      </c>
      <c r="M718" s="41"/>
    </row>
    <row r="719" spans="1:13" ht="14" x14ac:dyDescent="0.3">
      <c r="A719" s="18">
        <f t="shared" si="28"/>
        <v>718</v>
      </c>
      <c r="B719" s="3" t="s">
        <v>3</v>
      </c>
      <c r="C719" s="20" t="s">
        <v>61</v>
      </c>
      <c r="D719" s="35" t="str">
        <f t="shared" si="27"/>
        <v/>
      </c>
      <c r="E719" s="5">
        <v>45838</v>
      </c>
      <c r="F719" s="20" t="s">
        <v>15</v>
      </c>
      <c r="G719" s="7">
        <v>9715097730</v>
      </c>
      <c r="H719" s="7">
        <v>9533728360</v>
      </c>
      <c r="I719" s="7">
        <v>181369370</v>
      </c>
      <c r="J719" s="7">
        <v>0</v>
      </c>
      <c r="K719" s="7">
        <v>90797901</v>
      </c>
      <c r="L719" s="8">
        <v>90797901</v>
      </c>
      <c r="M719" s="41"/>
    </row>
    <row r="720" spans="1:13" ht="14" x14ac:dyDescent="0.3">
      <c r="A720" s="18">
        <f t="shared" si="28"/>
        <v>719</v>
      </c>
      <c r="B720" s="3" t="s">
        <v>12</v>
      </c>
      <c r="C720" s="20" t="s">
        <v>78</v>
      </c>
      <c r="D720" s="35" t="str">
        <f t="shared" si="27"/>
        <v/>
      </c>
      <c r="E720" s="5">
        <v>45838</v>
      </c>
      <c r="F720" s="20" t="s">
        <v>15</v>
      </c>
      <c r="G720" s="7">
        <v>89254022</v>
      </c>
      <c r="H720" s="7">
        <v>72812104</v>
      </c>
      <c r="I720" s="7">
        <v>16441918</v>
      </c>
      <c r="J720" s="7">
        <v>10921815.6</v>
      </c>
      <c r="K720" s="7">
        <v>3771134.2</v>
      </c>
      <c r="L720" s="8">
        <f>OPERATORS[[#This Row],[Withholding Tax]]+OPERATORS[[#This Row],[Gaming Tax]]</f>
        <v>14692949.800000001</v>
      </c>
      <c r="M720" s="41"/>
    </row>
    <row r="721" spans="1:13" ht="14" x14ac:dyDescent="0.3">
      <c r="A721" s="18">
        <f t="shared" si="28"/>
        <v>720</v>
      </c>
      <c r="B721" s="3"/>
      <c r="C721" s="6"/>
      <c r="D721" s="35"/>
      <c r="E721" s="5"/>
      <c r="F721" s="20" t="s">
        <v>15</v>
      </c>
      <c r="G721" s="7"/>
      <c r="H721" s="7"/>
      <c r="I721" s="7"/>
      <c r="J721" s="7"/>
      <c r="K721" s="7"/>
      <c r="L721" s="8"/>
      <c r="M721" s="41"/>
    </row>
    <row r="722" spans="1:13" ht="14" x14ac:dyDescent="0.3">
      <c r="A722" s="18">
        <f t="shared" si="28"/>
        <v>721</v>
      </c>
      <c r="B722" s="3" t="s">
        <v>12</v>
      </c>
      <c r="C722" s="20" t="s">
        <v>55</v>
      </c>
      <c r="D722" s="35" t="str">
        <f t="shared" ref="D722:D763" si="29">IFERROR(VLOOKUP(C722,OPerators_Range,2,FALSE),"")</f>
        <v/>
      </c>
      <c r="E722" s="5">
        <v>45838</v>
      </c>
      <c r="F722" s="20" t="s">
        <v>15</v>
      </c>
      <c r="G722" s="7">
        <v>196693239</v>
      </c>
      <c r="H722" s="7">
        <v>146089450.34999999</v>
      </c>
      <c r="I722" s="7">
        <v>50603788.649999999</v>
      </c>
      <c r="J722" s="7">
        <v>21913417.550000001</v>
      </c>
      <c r="K722" s="7">
        <v>10152864.390000001</v>
      </c>
      <c r="L722" s="8">
        <f>OPERATORS[[#This Row],[Withholding Tax]]+OPERATORS[[#This Row],[Gaming Tax]]</f>
        <v>32066281.940000001</v>
      </c>
      <c r="M722" s="41"/>
    </row>
    <row r="723" spans="1:13" ht="14" x14ac:dyDescent="0.3">
      <c r="A723" s="18">
        <f t="shared" si="28"/>
        <v>722</v>
      </c>
      <c r="B723" s="3" t="s">
        <v>3</v>
      </c>
      <c r="C723" s="20" t="s">
        <v>51</v>
      </c>
      <c r="D723" s="35" t="str">
        <f t="shared" si="29"/>
        <v/>
      </c>
      <c r="E723" s="5">
        <v>45838</v>
      </c>
      <c r="F723" s="20" t="s">
        <v>15</v>
      </c>
      <c r="G723" s="7">
        <v>1461445203</v>
      </c>
      <c r="H723" s="7">
        <v>121885279</v>
      </c>
      <c r="I723" s="7">
        <v>1339559924</v>
      </c>
      <c r="J723" s="7">
        <v>0</v>
      </c>
      <c r="K723" s="7">
        <v>438433561</v>
      </c>
      <c r="L723" s="8">
        <v>438433561</v>
      </c>
      <c r="M723" s="41"/>
    </row>
    <row r="724" spans="1:13" ht="14" x14ac:dyDescent="0.3">
      <c r="A724" s="18">
        <f t="shared" si="28"/>
        <v>723</v>
      </c>
      <c r="B724" s="3" t="s">
        <v>16</v>
      </c>
      <c r="C724" s="20" t="s">
        <v>69</v>
      </c>
      <c r="D724" s="35" t="str">
        <f t="shared" si="29"/>
        <v/>
      </c>
      <c r="E724" s="5">
        <v>45838</v>
      </c>
      <c r="F724" s="20" t="s">
        <v>15</v>
      </c>
      <c r="G724" s="7">
        <v>643298500</v>
      </c>
      <c r="H724" s="7">
        <v>530760421</v>
      </c>
      <c r="I724" s="7">
        <v>112538079</v>
      </c>
      <c r="J724" s="7">
        <v>0</v>
      </c>
      <c r="K724" s="7">
        <v>33761424</v>
      </c>
      <c r="L724" s="8">
        <v>33761424</v>
      </c>
      <c r="M724" s="41"/>
    </row>
    <row r="725" spans="1:13" ht="14" x14ac:dyDescent="0.3">
      <c r="A725" s="18">
        <f t="shared" si="28"/>
        <v>724</v>
      </c>
      <c r="B725" s="3" t="s">
        <v>3</v>
      </c>
      <c r="C725" s="20" t="s">
        <v>71</v>
      </c>
      <c r="D725" s="35" t="str">
        <f t="shared" si="29"/>
        <v/>
      </c>
      <c r="E725" s="5">
        <v>45838</v>
      </c>
      <c r="F725" s="20" t="s">
        <v>15</v>
      </c>
      <c r="G725" s="7">
        <v>228161000</v>
      </c>
      <c r="H725" s="7">
        <v>72604667</v>
      </c>
      <c r="I725" s="7">
        <v>155556333</v>
      </c>
      <c r="J725" s="7">
        <v>0</v>
      </c>
      <c r="K725" s="7">
        <v>46666900</v>
      </c>
      <c r="L725" s="8">
        <v>46666900</v>
      </c>
      <c r="M725" s="41"/>
    </row>
    <row r="726" spans="1:13" ht="14" x14ac:dyDescent="0.3">
      <c r="A726" s="18">
        <f t="shared" si="28"/>
        <v>725</v>
      </c>
      <c r="B726" s="3" t="s">
        <v>3</v>
      </c>
      <c r="C726" s="20" t="s">
        <v>76</v>
      </c>
      <c r="D726" s="35" t="str">
        <f t="shared" si="29"/>
        <v/>
      </c>
      <c r="E726" s="5">
        <v>45838</v>
      </c>
      <c r="F726" s="20" t="s">
        <v>15</v>
      </c>
      <c r="G726" s="7">
        <v>1473000</v>
      </c>
      <c r="H726" s="7" t="s">
        <v>20</v>
      </c>
      <c r="I726" s="7">
        <v>1473000</v>
      </c>
      <c r="J726" s="7">
        <v>0</v>
      </c>
      <c r="K726" s="7">
        <v>441900</v>
      </c>
      <c r="L726" s="8">
        <v>441900</v>
      </c>
      <c r="M726" s="41"/>
    </row>
    <row r="727" spans="1:13" ht="14" x14ac:dyDescent="0.3">
      <c r="A727" s="18">
        <f t="shared" si="28"/>
        <v>726</v>
      </c>
      <c r="B727" s="3" t="s">
        <v>12</v>
      </c>
      <c r="C727" s="20" t="s">
        <v>50</v>
      </c>
      <c r="D727" s="35" t="str">
        <f t="shared" si="29"/>
        <v/>
      </c>
      <c r="E727" s="5">
        <v>45838</v>
      </c>
      <c r="F727" s="20" t="s">
        <v>15</v>
      </c>
      <c r="G727" s="7">
        <v>799432193</v>
      </c>
      <c r="H727" s="7">
        <v>763329190</v>
      </c>
      <c r="I727" s="7">
        <v>36103003</v>
      </c>
      <c r="J727" s="7">
        <v>114499379</v>
      </c>
      <c r="K727" s="7">
        <v>8605016</v>
      </c>
      <c r="L727" s="8">
        <v>123104394</v>
      </c>
      <c r="M727" s="41"/>
    </row>
    <row r="728" spans="1:13" ht="14" x14ac:dyDescent="0.3">
      <c r="A728" s="18">
        <f t="shared" si="28"/>
        <v>727</v>
      </c>
      <c r="B728" s="3" t="s">
        <v>12</v>
      </c>
      <c r="C728" s="20" t="s">
        <v>50</v>
      </c>
      <c r="D728" s="35" t="str">
        <f t="shared" si="29"/>
        <v/>
      </c>
      <c r="E728" s="5">
        <v>45838</v>
      </c>
      <c r="F728" s="20" t="s">
        <v>15</v>
      </c>
      <c r="G728" s="7"/>
      <c r="H728" s="7"/>
      <c r="I728" s="7"/>
      <c r="J728" s="7"/>
      <c r="K728" s="7"/>
      <c r="L728" s="8">
        <f>OPERATORS[[#This Row],[Withholding Tax]]+OPERATORS[[#This Row],[Gaming Tax]]</f>
        <v>0</v>
      </c>
      <c r="M728" s="41"/>
    </row>
    <row r="729" spans="1:13" ht="14" x14ac:dyDescent="0.3">
      <c r="A729" s="18">
        <f t="shared" si="28"/>
        <v>728</v>
      </c>
      <c r="B729" s="3" t="s">
        <v>12</v>
      </c>
      <c r="C729" s="20" t="s">
        <v>70</v>
      </c>
      <c r="D729" s="35" t="str">
        <f t="shared" si="29"/>
        <v/>
      </c>
      <c r="E729" s="5">
        <v>45838</v>
      </c>
      <c r="F729" s="20" t="s">
        <v>15</v>
      </c>
      <c r="G729" s="7">
        <v>5192852115</v>
      </c>
      <c r="H729" s="7">
        <v>4509921526</v>
      </c>
      <c r="I729" s="7">
        <v>682930590</v>
      </c>
      <c r="J729" s="7">
        <v>676488229</v>
      </c>
      <c r="K729" s="7">
        <v>137288475</v>
      </c>
      <c r="L729" s="8">
        <v>813776704</v>
      </c>
      <c r="M729" s="41"/>
    </row>
    <row r="730" spans="1:13" ht="14" x14ac:dyDescent="0.3">
      <c r="A730" s="18">
        <f t="shared" si="28"/>
        <v>729</v>
      </c>
      <c r="B730" s="3" t="s">
        <v>3</v>
      </c>
      <c r="C730" s="20" t="s">
        <v>70</v>
      </c>
      <c r="D730" s="35" t="str">
        <f t="shared" si="29"/>
        <v/>
      </c>
      <c r="E730" s="5">
        <v>45838</v>
      </c>
      <c r="F730" s="20" t="s">
        <v>15</v>
      </c>
      <c r="G730" s="7">
        <v>9605738918</v>
      </c>
      <c r="H730" s="7">
        <v>9208369365</v>
      </c>
      <c r="I730" s="7">
        <v>397369553</v>
      </c>
      <c r="J730" s="7">
        <v>0</v>
      </c>
      <c r="K730" s="7">
        <v>129256176</v>
      </c>
      <c r="L730" s="8">
        <v>129256176</v>
      </c>
      <c r="M730" s="41"/>
    </row>
    <row r="731" spans="1:13" ht="14" x14ac:dyDescent="0.3">
      <c r="A731" s="18">
        <f t="shared" ref="A731:A766" si="30">ROW(A730)</f>
        <v>730</v>
      </c>
      <c r="B731" s="3" t="s">
        <v>16</v>
      </c>
      <c r="C731" s="6" t="s">
        <v>27</v>
      </c>
      <c r="D731" s="35" t="str">
        <f t="shared" si="29"/>
        <v/>
      </c>
      <c r="E731" s="5">
        <v>45838</v>
      </c>
      <c r="F731" s="20" t="s">
        <v>15</v>
      </c>
      <c r="G731" s="7">
        <v>188889535</v>
      </c>
      <c r="H731" s="7">
        <v>167328143</v>
      </c>
      <c r="I731" s="7">
        <v>21561392</v>
      </c>
      <c r="J731" s="7">
        <v>0</v>
      </c>
      <c r="K731" s="7">
        <v>6468418</v>
      </c>
      <c r="L731" s="8">
        <v>6468418</v>
      </c>
      <c r="M731" s="41"/>
    </row>
    <row r="732" spans="1:13" ht="14" x14ac:dyDescent="0.3">
      <c r="A732" s="18">
        <f t="shared" si="30"/>
        <v>731</v>
      </c>
      <c r="B732" s="3" t="s">
        <v>12</v>
      </c>
      <c r="C732" s="6" t="s">
        <v>27</v>
      </c>
      <c r="D732" s="35" t="str">
        <f t="shared" si="29"/>
        <v/>
      </c>
      <c r="E732" s="5">
        <v>45838</v>
      </c>
      <c r="F732" s="20" t="s">
        <v>15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8">
        <f>OPERATORS[[#This Row],[Withholding Tax]]+OPERATORS[[#This Row],[Gaming Tax]]</f>
        <v>0</v>
      </c>
      <c r="M732" s="41"/>
    </row>
    <row r="733" spans="1:13" ht="14" x14ac:dyDescent="0.3">
      <c r="A733" s="18">
        <f t="shared" si="30"/>
        <v>732</v>
      </c>
      <c r="B733" s="3" t="s">
        <v>3</v>
      </c>
      <c r="C733" s="20" t="s">
        <v>41</v>
      </c>
      <c r="D733" s="35" t="str">
        <f t="shared" si="29"/>
        <v/>
      </c>
      <c r="E733" s="5">
        <v>45838</v>
      </c>
      <c r="F733" s="20" t="s">
        <v>15</v>
      </c>
      <c r="G733" s="7">
        <v>365347276773</v>
      </c>
      <c r="H733" s="7">
        <v>352740967962</v>
      </c>
      <c r="I733" s="7">
        <v>12606308810</v>
      </c>
      <c r="J733" s="7">
        <v>0</v>
      </c>
      <c r="K733" s="7">
        <v>3809967257</v>
      </c>
      <c r="L733" s="8">
        <f>OPERATORS[[#This Row],[Withholding Tax]]+OPERATORS[[#This Row],[Gaming Tax]]</f>
        <v>3809967257</v>
      </c>
      <c r="M733" s="41"/>
    </row>
    <row r="734" spans="1:13" ht="14" x14ac:dyDescent="0.3">
      <c r="A734" s="18">
        <f t="shared" si="30"/>
        <v>733</v>
      </c>
      <c r="B734" s="3" t="s">
        <v>12</v>
      </c>
      <c r="C734" s="20" t="s">
        <v>41</v>
      </c>
      <c r="D734" s="35" t="str">
        <f t="shared" si="29"/>
        <v/>
      </c>
      <c r="E734" s="5">
        <v>45838</v>
      </c>
      <c r="F734" s="20" t="s">
        <v>15</v>
      </c>
      <c r="G734" s="7">
        <v>212260762959</v>
      </c>
      <c r="H734" s="7">
        <v>198523612537</v>
      </c>
      <c r="I734" s="7">
        <v>13737150422</v>
      </c>
      <c r="J734" s="7">
        <v>29778541881</v>
      </c>
      <c r="K734" s="7">
        <v>2801790494</v>
      </c>
      <c r="L734" s="8">
        <f>OPERATORS[[#This Row],[Withholding Tax]]+OPERATORS[[#This Row],[Gaming Tax]]</f>
        <v>32580332375</v>
      </c>
      <c r="M734" s="41"/>
    </row>
    <row r="735" spans="1:13" ht="14" x14ac:dyDescent="0.3">
      <c r="A735" s="18">
        <f t="shared" si="30"/>
        <v>734</v>
      </c>
      <c r="B735" s="3" t="s">
        <v>17</v>
      </c>
      <c r="C735" s="20" t="s">
        <v>34</v>
      </c>
      <c r="D735" s="35" t="str">
        <f t="shared" si="29"/>
        <v/>
      </c>
      <c r="E735" s="5">
        <v>45838</v>
      </c>
      <c r="F735" s="20" t="s">
        <v>15</v>
      </c>
      <c r="G735" s="7">
        <v>473316000</v>
      </c>
      <c r="H735" s="7">
        <v>447000000</v>
      </c>
      <c r="I735" s="7">
        <v>26316000</v>
      </c>
      <c r="J735" s="7">
        <v>0</v>
      </c>
      <c r="K735" s="7">
        <v>8329800</v>
      </c>
      <c r="L735" s="8">
        <v>8329800</v>
      </c>
      <c r="M735" s="41"/>
    </row>
    <row r="736" spans="1:13" ht="14" x14ac:dyDescent="0.3">
      <c r="A736" s="18">
        <f t="shared" si="30"/>
        <v>735</v>
      </c>
      <c r="B736" s="3" t="s">
        <v>16</v>
      </c>
      <c r="C736" s="20" t="s">
        <v>38</v>
      </c>
      <c r="D736" s="35" t="str">
        <f t="shared" si="29"/>
        <v/>
      </c>
      <c r="E736" s="5">
        <v>45838</v>
      </c>
      <c r="F736" s="20" t="s">
        <v>15</v>
      </c>
      <c r="G736" s="7">
        <v>227141559</v>
      </c>
      <c r="H736" s="7">
        <v>175545720</v>
      </c>
      <c r="I736" s="7">
        <v>51595839</v>
      </c>
      <c r="J736" s="7">
        <v>0</v>
      </c>
      <c r="K736" s="7">
        <v>15478752</v>
      </c>
      <c r="L736" s="8">
        <v>15478752</v>
      </c>
      <c r="M736" s="41"/>
    </row>
    <row r="737" spans="1:13" ht="14" x14ac:dyDescent="0.3">
      <c r="A737" s="18">
        <f t="shared" si="30"/>
        <v>736</v>
      </c>
      <c r="B737" s="3" t="s">
        <v>12</v>
      </c>
      <c r="C737" s="20" t="s">
        <v>37</v>
      </c>
      <c r="D737" s="35" t="str">
        <f t="shared" si="29"/>
        <v/>
      </c>
      <c r="E737" s="5">
        <v>45838</v>
      </c>
      <c r="F737" s="20" t="s">
        <v>15</v>
      </c>
      <c r="G737" s="7">
        <v>861471306</v>
      </c>
      <c r="H737" s="7">
        <v>706112615</v>
      </c>
      <c r="I737" s="7">
        <v>155358691</v>
      </c>
      <c r="J737" s="7">
        <v>105916892</v>
      </c>
      <c r="K737" s="7">
        <v>32285627</v>
      </c>
      <c r="L737" s="8">
        <v>138202519</v>
      </c>
      <c r="M737" s="41"/>
    </row>
    <row r="738" spans="1:13" ht="14" x14ac:dyDescent="0.3">
      <c r="A738" s="18">
        <f t="shared" si="30"/>
        <v>737</v>
      </c>
      <c r="B738" s="3" t="s">
        <v>16</v>
      </c>
      <c r="C738" s="20" t="s">
        <v>60</v>
      </c>
      <c r="D738" s="35" t="str">
        <f t="shared" si="29"/>
        <v/>
      </c>
      <c r="E738" s="5">
        <v>45838</v>
      </c>
      <c r="F738" s="20" t="s">
        <v>15</v>
      </c>
      <c r="G738" s="7">
        <v>111577946891</v>
      </c>
      <c r="H738" s="7">
        <v>105915820988</v>
      </c>
      <c r="I738" s="7">
        <v>5662125903</v>
      </c>
      <c r="J738" s="7">
        <v>0</v>
      </c>
      <c r="K738" s="7">
        <v>1698637771</v>
      </c>
      <c r="L738" s="8">
        <f>OPERATORS[[#This Row],[Withholding Tax]]+OPERATORS[[#This Row],[Gaming Tax]]</f>
        <v>1698637771</v>
      </c>
      <c r="M738" s="41"/>
    </row>
    <row r="739" spans="1:13" ht="14" x14ac:dyDescent="0.3">
      <c r="A739" s="18">
        <f t="shared" si="30"/>
        <v>738</v>
      </c>
      <c r="B739" s="3" t="s">
        <v>12</v>
      </c>
      <c r="C739" s="20" t="s">
        <v>60</v>
      </c>
      <c r="D739" s="35" t="str">
        <f t="shared" si="29"/>
        <v/>
      </c>
      <c r="E739" s="5">
        <v>45838</v>
      </c>
      <c r="F739" s="20" t="s">
        <v>15</v>
      </c>
      <c r="G739" s="7">
        <v>13813441020</v>
      </c>
      <c r="H739" s="7">
        <v>12120049863</v>
      </c>
      <c r="I739" s="7">
        <v>1693391157</v>
      </c>
      <c r="J739" s="7">
        <v>1818007479</v>
      </c>
      <c r="K739" s="7">
        <v>339114182</v>
      </c>
      <c r="L739" s="8">
        <f>OPERATORS[[#This Row],[Withholding Tax]]+OPERATORS[[#This Row],[Gaming Tax]]</f>
        <v>2157121661</v>
      </c>
      <c r="M739" s="41"/>
    </row>
    <row r="740" spans="1:13" ht="14" x14ac:dyDescent="0.3">
      <c r="A740" s="18">
        <f t="shared" si="30"/>
        <v>739</v>
      </c>
      <c r="B740" s="3" t="s">
        <v>12</v>
      </c>
      <c r="C740" s="20" t="s">
        <v>29</v>
      </c>
      <c r="D740" s="35" t="str">
        <f t="shared" si="29"/>
        <v/>
      </c>
      <c r="E740" s="5">
        <v>45808</v>
      </c>
      <c r="F740" s="20" t="s">
        <v>15</v>
      </c>
      <c r="G740" s="7">
        <v>622157925</v>
      </c>
      <c r="H740" s="7">
        <v>515981721</v>
      </c>
      <c r="I740" s="7">
        <v>106176204</v>
      </c>
      <c r="J740" s="7">
        <v>77397258</v>
      </c>
      <c r="K740" s="7">
        <v>29627716</v>
      </c>
      <c r="L740" s="8">
        <f>OPERATORS[[#This Row],[Withholding Tax]]+OPERATORS[[#This Row],[Gaming Tax]]</f>
        <v>107024974</v>
      </c>
      <c r="M740" s="41"/>
    </row>
    <row r="741" spans="1:13" ht="14" x14ac:dyDescent="0.3">
      <c r="A741" s="18">
        <f t="shared" si="30"/>
        <v>740</v>
      </c>
      <c r="B741" s="3" t="s">
        <v>12</v>
      </c>
      <c r="C741" s="20" t="s">
        <v>29</v>
      </c>
      <c r="D741" s="35" t="str">
        <f t="shared" si="29"/>
        <v/>
      </c>
      <c r="E741" s="5">
        <v>45838</v>
      </c>
      <c r="F741" s="20" t="s">
        <v>15</v>
      </c>
      <c r="G741" s="7">
        <v>429267160</v>
      </c>
      <c r="H741" s="7">
        <v>318958830</v>
      </c>
      <c r="I741" s="7">
        <v>110308330</v>
      </c>
      <c r="J741" s="7">
        <v>47843825</v>
      </c>
      <c r="K741" s="7">
        <v>22567853</v>
      </c>
      <c r="L741" s="8">
        <f>OPERATORS[[#This Row],[Withholding Tax]]+OPERATORS[[#This Row],[Gaming Tax]]</f>
        <v>70411678</v>
      </c>
      <c r="M741" s="41"/>
    </row>
    <row r="742" spans="1:13" ht="14" x14ac:dyDescent="0.3">
      <c r="A742" s="18">
        <f t="shared" si="30"/>
        <v>741</v>
      </c>
      <c r="B742" s="3" t="s">
        <v>16</v>
      </c>
      <c r="C742" s="20" t="s">
        <v>39</v>
      </c>
      <c r="D742" s="35" t="str">
        <f t="shared" si="29"/>
        <v/>
      </c>
      <c r="E742" s="5">
        <v>45808</v>
      </c>
      <c r="F742" s="20" t="s">
        <v>15</v>
      </c>
      <c r="G742" s="7">
        <v>4832254</v>
      </c>
      <c r="H742" s="7">
        <v>8840697</v>
      </c>
      <c r="I742" s="7">
        <v>-4008443</v>
      </c>
      <c r="J742" s="7">
        <v>0</v>
      </c>
      <c r="K742" s="7">
        <v>413323</v>
      </c>
      <c r="L742" s="8">
        <f>OPERATORS[[#This Row],[Withholding Tax]]+OPERATORS[[#This Row],[Gaming Tax]]</f>
        <v>413323</v>
      </c>
      <c r="M742" s="41"/>
    </row>
    <row r="743" spans="1:13" ht="14" x14ac:dyDescent="0.3">
      <c r="A743" s="18">
        <f t="shared" si="30"/>
        <v>742</v>
      </c>
      <c r="B743" s="3" t="s">
        <v>16</v>
      </c>
      <c r="C743" s="20" t="s">
        <v>39</v>
      </c>
      <c r="D743" s="35" t="str">
        <f t="shared" si="29"/>
        <v/>
      </c>
      <c r="E743" s="5">
        <v>45838</v>
      </c>
      <c r="F743" s="20" t="s">
        <v>15</v>
      </c>
      <c r="G743" s="7">
        <v>31085288</v>
      </c>
      <c r="H743" s="7">
        <v>23405103</v>
      </c>
      <c r="I743" s="7">
        <v>7680185</v>
      </c>
      <c r="J743" s="7">
        <v>0</v>
      </c>
      <c r="K743" s="7">
        <v>2361962</v>
      </c>
      <c r="L743" s="8">
        <f>OPERATORS[[#This Row],[Withholding Tax]]+OPERATORS[[#This Row],[Gaming Tax]]</f>
        <v>2361962</v>
      </c>
      <c r="M743" s="41"/>
    </row>
    <row r="744" spans="1:13" ht="14" x14ac:dyDescent="0.3">
      <c r="A744" s="18">
        <f t="shared" si="30"/>
        <v>743</v>
      </c>
      <c r="B744" s="3" t="s">
        <v>12</v>
      </c>
      <c r="C744" s="20" t="s">
        <v>45</v>
      </c>
      <c r="D744" s="35" t="str">
        <f t="shared" si="29"/>
        <v/>
      </c>
      <c r="E744" s="5">
        <v>45838</v>
      </c>
      <c r="F744" s="20" t="s">
        <v>15</v>
      </c>
      <c r="G744" s="7">
        <v>2928141527</v>
      </c>
      <c r="H744" s="7">
        <v>1862526567</v>
      </c>
      <c r="I744" s="7">
        <v>1065614960</v>
      </c>
      <c r="J744" s="7">
        <v>279378985</v>
      </c>
      <c r="K744" s="7">
        <v>213122992</v>
      </c>
      <c r="L744" s="8">
        <f>OPERATORS[[#This Row],[Withholding Tax]]+OPERATORS[[#This Row],[Gaming Tax]]</f>
        <v>492501977</v>
      </c>
      <c r="M744" s="41"/>
    </row>
    <row r="745" spans="1:13" ht="14" x14ac:dyDescent="0.3">
      <c r="A745" s="18">
        <f t="shared" si="30"/>
        <v>744</v>
      </c>
      <c r="B745" s="3" t="s">
        <v>16</v>
      </c>
      <c r="C745" s="20" t="s">
        <v>45</v>
      </c>
      <c r="D745" s="35" t="str">
        <f t="shared" si="29"/>
        <v/>
      </c>
      <c r="E745" s="5">
        <v>45838</v>
      </c>
      <c r="F745" s="20" t="s">
        <v>15</v>
      </c>
      <c r="G745" s="7">
        <v>5623297899</v>
      </c>
      <c r="H745" s="7">
        <v>4965808323</v>
      </c>
      <c r="I745" s="7">
        <v>657489576</v>
      </c>
      <c r="J745" s="7"/>
      <c r="K745" s="7">
        <v>197246873</v>
      </c>
      <c r="L745" s="8">
        <f>OPERATORS[[#This Row],[Withholding Tax]]+OPERATORS[[#This Row],[Gaming Tax]]</f>
        <v>197246873</v>
      </c>
      <c r="M745" s="41"/>
    </row>
    <row r="746" spans="1:13" ht="14" x14ac:dyDescent="0.3">
      <c r="A746" s="18">
        <f t="shared" si="30"/>
        <v>745</v>
      </c>
      <c r="B746" s="3" t="s">
        <v>12</v>
      </c>
      <c r="C746" s="20" t="s">
        <v>42</v>
      </c>
      <c r="D746" s="35" t="str">
        <f t="shared" si="29"/>
        <v/>
      </c>
      <c r="E746" s="5">
        <v>45808</v>
      </c>
      <c r="F746" s="20" t="s">
        <v>15</v>
      </c>
      <c r="G746" s="7">
        <v>21859585</v>
      </c>
      <c r="H746" s="7">
        <v>19918417</v>
      </c>
      <c r="I746" s="7">
        <v>1941168</v>
      </c>
      <c r="J746" s="7">
        <v>2987763</v>
      </c>
      <c r="K746" s="7">
        <v>590119</v>
      </c>
      <c r="L746" s="8">
        <f>OPERATORS[[#This Row],[Withholding Tax]]+OPERATORS[[#This Row],[Gaming Tax]]</f>
        <v>3577882</v>
      </c>
      <c r="M746" s="41"/>
    </row>
    <row r="747" spans="1:13" ht="14" x14ac:dyDescent="0.3">
      <c r="A747" s="18">
        <f t="shared" si="30"/>
        <v>746</v>
      </c>
      <c r="B747" s="3" t="s">
        <v>3</v>
      </c>
      <c r="C747" s="20" t="s">
        <v>42</v>
      </c>
      <c r="D747" s="35" t="str">
        <f t="shared" si="29"/>
        <v/>
      </c>
      <c r="E747" s="5">
        <v>45808</v>
      </c>
      <c r="F747" s="20" t="s">
        <v>15</v>
      </c>
      <c r="G747" s="7">
        <v>88889981</v>
      </c>
      <c r="H747" s="7">
        <v>67794490</v>
      </c>
      <c r="I747" s="7">
        <v>21095490</v>
      </c>
      <c r="J747" s="7">
        <v>0</v>
      </c>
      <c r="K747" s="7">
        <v>6328647</v>
      </c>
      <c r="L747" s="8">
        <f>OPERATORS[[#This Row],[Withholding Tax]]+OPERATORS[[#This Row],[Gaming Tax]]</f>
        <v>6328647</v>
      </c>
      <c r="M747" s="41"/>
    </row>
    <row r="748" spans="1:13" ht="14" x14ac:dyDescent="0.3">
      <c r="A748" s="18">
        <f t="shared" si="30"/>
        <v>747</v>
      </c>
      <c r="B748" s="3" t="s">
        <v>12</v>
      </c>
      <c r="C748" s="20" t="s">
        <v>42</v>
      </c>
      <c r="D748" s="35" t="str">
        <f t="shared" si="29"/>
        <v/>
      </c>
      <c r="E748" s="5">
        <v>45838</v>
      </c>
      <c r="F748" s="20" t="s">
        <v>15</v>
      </c>
      <c r="G748" s="7">
        <v>19616011</v>
      </c>
      <c r="H748" s="7">
        <v>15261239</v>
      </c>
      <c r="I748" s="7">
        <v>4354772</v>
      </c>
      <c r="J748" s="7">
        <v>2289186</v>
      </c>
      <c r="K748" s="7">
        <v>944070</v>
      </c>
      <c r="L748" s="8">
        <f>OPERATORS[[#This Row],[Withholding Tax]]+OPERATORS[[#This Row],[Gaming Tax]]</f>
        <v>3233256</v>
      </c>
      <c r="M748" s="41"/>
    </row>
    <row r="749" spans="1:13" ht="14" x14ac:dyDescent="0.3">
      <c r="A749" s="18">
        <f t="shared" si="30"/>
        <v>748</v>
      </c>
      <c r="B749" s="3" t="s">
        <v>3</v>
      </c>
      <c r="C749" s="20" t="s">
        <v>42</v>
      </c>
      <c r="D749" s="35" t="str">
        <f t="shared" si="29"/>
        <v/>
      </c>
      <c r="E749" s="5">
        <v>45838</v>
      </c>
      <c r="F749" s="20" t="s">
        <v>15</v>
      </c>
      <c r="G749" s="7">
        <v>105957798</v>
      </c>
      <c r="H749" s="7">
        <v>88948745</v>
      </c>
      <c r="I749" s="7">
        <v>17009053</v>
      </c>
      <c r="J749" s="7">
        <v>0</v>
      </c>
      <c r="K749" s="7">
        <v>7191182</v>
      </c>
      <c r="L749" s="8">
        <f>OPERATORS[[#This Row],[Withholding Tax]]+OPERATORS[[#This Row],[Gaming Tax]]</f>
        <v>7191182</v>
      </c>
      <c r="M749" s="41"/>
    </row>
    <row r="750" spans="1:13" ht="14" x14ac:dyDescent="0.3">
      <c r="A750" s="18">
        <f t="shared" si="30"/>
        <v>749</v>
      </c>
      <c r="B750" s="3" t="s">
        <v>12</v>
      </c>
      <c r="C750" s="20" t="s">
        <v>46</v>
      </c>
      <c r="D750" s="35" t="str">
        <f t="shared" si="29"/>
        <v/>
      </c>
      <c r="E750" s="5">
        <v>45838</v>
      </c>
      <c r="F750" s="20" t="s">
        <v>15</v>
      </c>
      <c r="G750" s="7">
        <v>214275949</v>
      </c>
      <c r="H750" s="7">
        <v>105486129</v>
      </c>
      <c r="I750" s="7">
        <v>108789821</v>
      </c>
      <c r="J750" s="7">
        <v>15822919</v>
      </c>
      <c r="K750" s="7">
        <v>21757964</v>
      </c>
      <c r="L750" s="8">
        <v>37580883</v>
      </c>
      <c r="M750" s="41"/>
    </row>
    <row r="751" spans="1:13" ht="14" x14ac:dyDescent="0.3">
      <c r="A751" s="18">
        <f t="shared" si="30"/>
        <v>750</v>
      </c>
      <c r="B751" s="3" t="s">
        <v>16</v>
      </c>
      <c r="C751" s="20" t="s">
        <v>46</v>
      </c>
      <c r="D751" s="20" t="str">
        <f t="shared" si="29"/>
        <v/>
      </c>
      <c r="E751" s="5">
        <v>45838</v>
      </c>
      <c r="F751" s="20" t="s">
        <v>15</v>
      </c>
      <c r="G751" s="7">
        <v>2901849944</v>
      </c>
      <c r="H751" s="7">
        <v>2701849696</v>
      </c>
      <c r="I751" s="7">
        <v>200000248</v>
      </c>
      <c r="J751" s="7">
        <v>0</v>
      </c>
      <c r="K751" s="7">
        <v>60000074</v>
      </c>
      <c r="L751" s="8">
        <v>60000074</v>
      </c>
      <c r="M751" s="41"/>
    </row>
    <row r="752" spans="1:13" ht="14" x14ac:dyDescent="0.3">
      <c r="A752" s="18">
        <f t="shared" si="30"/>
        <v>751</v>
      </c>
      <c r="B752" s="3" t="s">
        <v>12</v>
      </c>
      <c r="C752" s="6" t="s">
        <v>28</v>
      </c>
      <c r="D752" s="20" t="str">
        <f t="shared" si="29"/>
        <v/>
      </c>
      <c r="E752" s="5">
        <v>45838</v>
      </c>
      <c r="F752" s="20" t="s">
        <v>15</v>
      </c>
      <c r="G752" s="7">
        <v>1820851825</v>
      </c>
      <c r="H752" s="7">
        <v>1288498980</v>
      </c>
      <c r="I752" s="7">
        <v>532352845</v>
      </c>
      <c r="J752" s="7">
        <v>193274847</v>
      </c>
      <c r="K752" s="7">
        <v>106470569</v>
      </c>
      <c r="L752" s="8">
        <v>299745416</v>
      </c>
      <c r="M752" s="41"/>
    </row>
    <row r="753" spans="1:13" ht="14" x14ac:dyDescent="0.3">
      <c r="A753" s="18">
        <f t="shared" si="30"/>
        <v>752</v>
      </c>
      <c r="B753" s="3" t="s">
        <v>3</v>
      </c>
      <c r="C753" s="6" t="s">
        <v>28</v>
      </c>
      <c r="D753" s="20" t="str">
        <f t="shared" si="29"/>
        <v/>
      </c>
      <c r="E753" s="5">
        <v>45838</v>
      </c>
      <c r="F753" s="20" t="s">
        <v>15</v>
      </c>
      <c r="G753" s="7">
        <v>10250556630</v>
      </c>
      <c r="H753" s="7">
        <v>9927980693</v>
      </c>
      <c r="I753" s="7">
        <v>322575937</v>
      </c>
      <c r="J753" s="7">
        <v>0</v>
      </c>
      <c r="K753" s="7">
        <v>96772781</v>
      </c>
      <c r="L753" s="8">
        <v>96772781</v>
      </c>
      <c r="M753" s="41"/>
    </row>
    <row r="754" spans="1:13" ht="14" x14ac:dyDescent="0.3">
      <c r="A754" s="18">
        <f t="shared" si="30"/>
        <v>753</v>
      </c>
      <c r="B754" s="3" t="s">
        <v>12</v>
      </c>
      <c r="C754" s="20" t="s">
        <v>64</v>
      </c>
      <c r="D754" s="20" t="str">
        <f t="shared" si="29"/>
        <v/>
      </c>
      <c r="E754" s="5">
        <v>45808</v>
      </c>
      <c r="F754" s="20" t="s">
        <v>15</v>
      </c>
      <c r="G754" s="7">
        <v>209293509</v>
      </c>
      <c r="H754" s="7">
        <v>200527401</v>
      </c>
      <c r="I754" s="7">
        <v>8766108</v>
      </c>
      <c r="J754" s="7">
        <v>30079110</v>
      </c>
      <c r="K754" s="7">
        <v>4163990</v>
      </c>
      <c r="L754" s="8">
        <f>OPERATORS[[#This Row],[Withholding Tax]]+OPERATORS[[#This Row],[Gaming Tax]]</f>
        <v>34243100</v>
      </c>
      <c r="M754" s="41"/>
    </row>
    <row r="755" spans="1:13" ht="14" x14ac:dyDescent="0.3">
      <c r="A755" s="18">
        <f t="shared" si="30"/>
        <v>754</v>
      </c>
      <c r="B755" s="3" t="s">
        <v>3</v>
      </c>
      <c r="C755" s="20" t="s">
        <v>64</v>
      </c>
      <c r="D755" s="20" t="str">
        <f t="shared" si="29"/>
        <v/>
      </c>
      <c r="E755" s="5">
        <v>45808</v>
      </c>
      <c r="F755" s="20" t="s">
        <v>15</v>
      </c>
      <c r="G755" s="7">
        <v>1332810023</v>
      </c>
      <c r="H755" s="7">
        <v>978229986</v>
      </c>
      <c r="I755" s="7">
        <v>354580037</v>
      </c>
      <c r="J755" s="7"/>
      <c r="K755" s="7">
        <v>106374011</v>
      </c>
      <c r="L755" s="8">
        <f>OPERATORS[[#This Row],[Withholding Tax]]+OPERATORS[[#This Row],[Gaming Tax]]</f>
        <v>106374011</v>
      </c>
      <c r="M755" s="41"/>
    </row>
    <row r="756" spans="1:13" ht="14" x14ac:dyDescent="0.3">
      <c r="A756" s="18">
        <f t="shared" si="30"/>
        <v>755</v>
      </c>
      <c r="B756" s="3" t="s">
        <v>12</v>
      </c>
      <c r="C756" s="20" t="s">
        <v>30</v>
      </c>
      <c r="D756" s="20" t="str">
        <f t="shared" si="29"/>
        <v/>
      </c>
      <c r="E756" s="5">
        <v>45838</v>
      </c>
      <c r="F756" s="20" t="s">
        <v>15</v>
      </c>
      <c r="G756" s="7">
        <v>333333597</v>
      </c>
      <c r="H756" s="7">
        <v>326587969</v>
      </c>
      <c r="I756" s="7">
        <v>6745628</v>
      </c>
      <c r="J756" s="7">
        <v>48988195</v>
      </c>
      <c r="K756" s="7">
        <v>17727721</v>
      </c>
      <c r="L756" s="8">
        <f>OPERATORS[[#This Row],[Withholding Tax]]+OPERATORS[[#This Row],[Gaming Tax]]</f>
        <v>66715916</v>
      </c>
      <c r="M756" s="41"/>
    </row>
    <row r="757" spans="1:13" ht="14" x14ac:dyDescent="0.3">
      <c r="A757" s="18">
        <f t="shared" si="30"/>
        <v>756</v>
      </c>
      <c r="B757" s="3" t="s">
        <v>12</v>
      </c>
      <c r="C757" s="20" t="s">
        <v>64</v>
      </c>
      <c r="D757" s="20" t="str">
        <f t="shared" si="29"/>
        <v/>
      </c>
      <c r="E757" s="5">
        <v>45838</v>
      </c>
      <c r="F757" s="20" t="s">
        <v>15</v>
      </c>
      <c r="G757" s="7">
        <v>129660998</v>
      </c>
      <c r="H757" s="7">
        <v>122596961</v>
      </c>
      <c r="I757" s="7">
        <v>7064037</v>
      </c>
      <c r="J757" s="7">
        <v>18389544</v>
      </c>
      <c r="K757" s="7">
        <v>2760669</v>
      </c>
      <c r="L757" s="8">
        <f>OPERATORS[[#This Row],[Withholding Tax]]+OPERATORS[[#This Row],[Gaming Tax]]</f>
        <v>21150213</v>
      </c>
      <c r="M757" s="41"/>
    </row>
    <row r="758" spans="1:13" ht="14" x14ac:dyDescent="0.3">
      <c r="A758" s="18">
        <f t="shared" si="30"/>
        <v>757</v>
      </c>
      <c r="B758" s="3" t="s">
        <v>12</v>
      </c>
      <c r="C758" s="20" t="s">
        <v>36</v>
      </c>
      <c r="D758" s="20" t="str">
        <f t="shared" si="29"/>
        <v/>
      </c>
      <c r="E758" s="5">
        <v>45838</v>
      </c>
      <c r="F758" s="20" t="s">
        <v>15</v>
      </c>
      <c r="G758" s="7">
        <v>24460343</v>
      </c>
      <c r="H758" s="7">
        <v>20136568</v>
      </c>
      <c r="I758" s="7">
        <v>4323775</v>
      </c>
      <c r="J758" s="7">
        <v>3020485</v>
      </c>
      <c r="K758" s="7">
        <v>1738149</v>
      </c>
      <c r="L758" s="8">
        <f>OPERATORS[[#This Row],[Withholding Tax]]+OPERATORS[[#This Row],[Gaming Tax]]</f>
        <v>4758634</v>
      </c>
      <c r="M758" s="41"/>
    </row>
    <row r="759" spans="1:13" ht="14" x14ac:dyDescent="0.3">
      <c r="A759" s="18">
        <f t="shared" si="30"/>
        <v>758</v>
      </c>
      <c r="B759" s="3" t="s">
        <v>16</v>
      </c>
      <c r="C759" s="20" t="s">
        <v>36</v>
      </c>
      <c r="D759" s="20" t="str">
        <f t="shared" si="29"/>
        <v/>
      </c>
      <c r="E759" s="5">
        <v>45838</v>
      </c>
      <c r="F759" s="20" t="s">
        <v>15</v>
      </c>
      <c r="G759" s="7">
        <v>259657530</v>
      </c>
      <c r="H759" s="7">
        <v>219277332</v>
      </c>
      <c r="I759" s="7">
        <v>40380198</v>
      </c>
      <c r="J759" s="7">
        <v>0</v>
      </c>
      <c r="K759" s="7">
        <v>12114059</v>
      </c>
      <c r="L759" s="8">
        <f>OPERATORS[[#This Row],[Withholding Tax]]+OPERATORS[[#This Row],[Gaming Tax]]</f>
        <v>12114059</v>
      </c>
      <c r="M759" s="41"/>
    </row>
    <row r="760" spans="1:13" ht="14" x14ac:dyDescent="0.3">
      <c r="A760" s="18">
        <f t="shared" si="30"/>
        <v>759</v>
      </c>
      <c r="B760" s="3" t="s">
        <v>3</v>
      </c>
      <c r="C760" s="20" t="s">
        <v>64</v>
      </c>
      <c r="D760" s="20" t="str">
        <f t="shared" si="29"/>
        <v/>
      </c>
      <c r="E760" s="5">
        <v>45838</v>
      </c>
      <c r="F760" s="20" t="s">
        <v>15</v>
      </c>
      <c r="G760" s="7">
        <v>1402053649</v>
      </c>
      <c r="H760" s="7">
        <v>1048223592</v>
      </c>
      <c r="I760" s="7">
        <v>353830057</v>
      </c>
      <c r="J760" s="7">
        <v>0</v>
      </c>
      <c r="K760" s="7">
        <v>106149017</v>
      </c>
      <c r="L760" s="8">
        <f>OPERATORS[[#This Row],[Withholding Tax]]+OPERATORS[[#This Row],[Gaming Tax]]</f>
        <v>106149017</v>
      </c>
      <c r="M760" s="41"/>
    </row>
    <row r="761" spans="1:13" ht="14" x14ac:dyDescent="0.3">
      <c r="A761" s="18">
        <f t="shared" si="30"/>
        <v>760</v>
      </c>
      <c r="B761" s="3" t="s">
        <v>3</v>
      </c>
      <c r="C761" s="20" t="s">
        <v>48</v>
      </c>
      <c r="D761" s="20" t="str">
        <f t="shared" si="29"/>
        <v/>
      </c>
      <c r="E761" s="5">
        <v>45838</v>
      </c>
      <c r="F761" s="20" t="s">
        <v>15</v>
      </c>
      <c r="G761" s="7">
        <v>1007839500</v>
      </c>
      <c r="H761" s="7" t="s">
        <v>19</v>
      </c>
      <c r="I761" s="7">
        <v>1007839500</v>
      </c>
      <c r="J761" s="7">
        <v>0</v>
      </c>
      <c r="K761" s="7">
        <v>302351850</v>
      </c>
      <c r="L761" s="8">
        <f>OPERATORS[[#This Row],[Withholding Tax]]+OPERATORS[[#This Row],[Gaming Tax]]</f>
        <v>302351850</v>
      </c>
      <c r="M761" s="41"/>
    </row>
    <row r="762" spans="1:13" ht="14" x14ac:dyDescent="0.3">
      <c r="A762" s="18">
        <f t="shared" si="30"/>
        <v>761</v>
      </c>
      <c r="B762" s="3" t="s">
        <v>3</v>
      </c>
      <c r="C762" s="20" t="s">
        <v>44</v>
      </c>
      <c r="D762" s="20" t="str">
        <f t="shared" si="29"/>
        <v/>
      </c>
      <c r="E762" s="5">
        <v>45838</v>
      </c>
      <c r="F762" s="20" t="s">
        <v>15</v>
      </c>
      <c r="G762" s="7">
        <v>18736627</v>
      </c>
      <c r="H762" s="7">
        <v>16919373</v>
      </c>
      <c r="I762" s="7">
        <v>1817253</v>
      </c>
      <c r="J762" s="7">
        <v>0</v>
      </c>
      <c r="K762" s="7">
        <v>795045</v>
      </c>
      <c r="L762" s="8">
        <f>OPERATORS[[#This Row],[Withholding Tax]]+OPERATORS[[#This Row],[Gaming Tax]]</f>
        <v>795045</v>
      </c>
      <c r="M762" s="41"/>
    </row>
    <row r="763" spans="1:13" ht="14" x14ac:dyDescent="0.3">
      <c r="A763" s="18">
        <f t="shared" si="30"/>
        <v>762</v>
      </c>
      <c r="B763" s="3" t="s">
        <v>12</v>
      </c>
      <c r="C763" s="20" t="s">
        <v>44</v>
      </c>
      <c r="D763" s="20" t="str">
        <f t="shared" si="29"/>
        <v/>
      </c>
      <c r="E763" s="5">
        <v>45838</v>
      </c>
      <c r="F763" s="20" t="s">
        <v>15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8">
        <v>0</v>
      </c>
      <c r="M763" s="41"/>
    </row>
    <row r="764" spans="1:13" ht="14" x14ac:dyDescent="0.3">
      <c r="A764" s="18">
        <f t="shared" si="30"/>
        <v>763</v>
      </c>
      <c r="B764" s="3" t="s">
        <v>3</v>
      </c>
      <c r="C764" s="20" t="s">
        <v>56</v>
      </c>
      <c r="D764" s="35">
        <v>1000035508</v>
      </c>
      <c r="E764" s="5">
        <v>45838</v>
      </c>
      <c r="F764" s="20" t="s">
        <v>15</v>
      </c>
      <c r="G764" s="7">
        <v>383369133</v>
      </c>
      <c r="H764" s="7">
        <f>G764+I764</f>
        <v>766738266</v>
      </c>
      <c r="I764" s="7">
        <v>383369133</v>
      </c>
      <c r="J764" s="7" t="s">
        <v>19</v>
      </c>
      <c r="K764" s="7">
        <v>137819462</v>
      </c>
      <c r="L764" s="8">
        <f>OPERATORS[[#This Row],[Gaming Tax]]</f>
        <v>137819462</v>
      </c>
      <c r="M764" s="41"/>
    </row>
    <row r="765" spans="1:13" ht="14" x14ac:dyDescent="0.3">
      <c r="A765" s="18">
        <f t="shared" si="30"/>
        <v>764</v>
      </c>
      <c r="B765" s="3" t="s">
        <v>3</v>
      </c>
      <c r="C765" s="20" t="s">
        <v>53</v>
      </c>
      <c r="D765" s="20" t="str">
        <f t="shared" ref="D765:D796" si="31">IFERROR(VLOOKUP(C765,OPerators_Range,2,FALSE),"")</f>
        <v/>
      </c>
      <c r="E765" s="5">
        <v>45838</v>
      </c>
      <c r="F765" s="20" t="s">
        <v>15</v>
      </c>
      <c r="G765" s="7">
        <v>4959386000</v>
      </c>
      <c r="H765" s="7">
        <v>4664205000</v>
      </c>
      <c r="I765" s="7">
        <v>295181000</v>
      </c>
      <c r="J765" s="7" t="s">
        <v>19</v>
      </c>
      <c r="K765" s="7">
        <v>127003800</v>
      </c>
      <c r="L765" s="8">
        <v>127003800</v>
      </c>
      <c r="M765" s="41"/>
    </row>
    <row r="766" spans="1:13" ht="14" x14ac:dyDescent="0.3">
      <c r="A766" s="18">
        <f t="shared" si="30"/>
        <v>765</v>
      </c>
      <c r="B766" s="3" t="s">
        <v>12</v>
      </c>
      <c r="C766" s="20" t="s">
        <v>68</v>
      </c>
      <c r="D766" s="20" t="str">
        <f t="shared" si="31"/>
        <v/>
      </c>
      <c r="E766" s="5">
        <v>45838</v>
      </c>
      <c r="F766" s="20" t="s">
        <v>15</v>
      </c>
      <c r="G766" s="7">
        <v>11031416</v>
      </c>
      <c r="H766" s="7">
        <v>8672698</v>
      </c>
      <c r="I766" s="7">
        <v>2358718</v>
      </c>
      <c r="J766" s="7">
        <v>1300905</v>
      </c>
      <c r="K766" s="7">
        <v>1158051</v>
      </c>
      <c r="L766" s="8"/>
      <c r="M766" s="41"/>
    </row>
    <row r="767" spans="1:13" ht="14" x14ac:dyDescent="0.3">
      <c r="A767" s="18">
        <f>ROW(A750)</f>
        <v>750</v>
      </c>
      <c r="B767" s="3" t="s">
        <v>16</v>
      </c>
      <c r="C767" s="20" t="s">
        <v>61</v>
      </c>
      <c r="D767" s="35" t="str">
        <f t="shared" si="31"/>
        <v/>
      </c>
      <c r="E767" s="5">
        <v>45838</v>
      </c>
      <c r="F767" s="20" t="s">
        <v>15</v>
      </c>
      <c r="G767" s="7">
        <v>3444249409</v>
      </c>
      <c r="H767" s="7">
        <v>3332971343</v>
      </c>
      <c r="I767" s="7">
        <v>111278066</v>
      </c>
      <c r="J767" s="7"/>
      <c r="K767" s="7">
        <v>33603856.799999997</v>
      </c>
      <c r="L767" s="8">
        <f>OPERATORS[[#This Row],[Withholding Tax]]+OPERATORS[[#This Row],[Gaming Tax]]</f>
        <v>33603856.799999997</v>
      </c>
      <c r="M767" s="41"/>
    </row>
    <row r="768" spans="1:13" ht="14" x14ac:dyDescent="0.3">
      <c r="A768" s="18">
        <f t="shared" ref="A768:A778" si="32">ROW(A767)</f>
        <v>767</v>
      </c>
      <c r="B768" s="3" t="s">
        <v>12</v>
      </c>
      <c r="C768" s="20" t="s">
        <v>61</v>
      </c>
      <c r="D768" s="20" t="str">
        <f t="shared" si="31"/>
        <v/>
      </c>
      <c r="E768" s="5">
        <v>45838</v>
      </c>
      <c r="F768" s="20" t="s">
        <v>15</v>
      </c>
      <c r="G768" s="7">
        <v>724013624</v>
      </c>
      <c r="H768" s="7">
        <v>452946687</v>
      </c>
      <c r="I768" s="7">
        <v>271066937</v>
      </c>
      <c r="J768" s="7">
        <v>67942003</v>
      </c>
      <c r="K768" s="7">
        <v>54213387</v>
      </c>
      <c r="L768" s="8">
        <f>OPERATORS[[#This Row],[Gaming Tax]]+OPERATORS[[#This Row],[Withholding Tax]]</f>
        <v>122155390</v>
      </c>
      <c r="M768" s="41"/>
    </row>
    <row r="769" spans="1:13" ht="14" x14ac:dyDescent="0.3">
      <c r="A769" s="18">
        <f t="shared" si="32"/>
        <v>768</v>
      </c>
      <c r="B769" s="3" t="s">
        <v>16</v>
      </c>
      <c r="C769" s="20" t="s">
        <v>59</v>
      </c>
      <c r="D769" s="20" t="str">
        <f t="shared" si="31"/>
        <v/>
      </c>
      <c r="E769" s="5">
        <v>45838</v>
      </c>
      <c r="F769" s="20" t="s">
        <v>15</v>
      </c>
      <c r="G769" s="7">
        <v>108182500</v>
      </c>
      <c r="H769" s="7">
        <v>92803520</v>
      </c>
      <c r="I769" s="7">
        <v>15378980</v>
      </c>
      <c r="J769" s="7">
        <v>0</v>
      </c>
      <c r="K769" s="7">
        <v>4738992</v>
      </c>
      <c r="L769" s="8">
        <f>OPERATORS[[#This Row],[Withholding Tax]]+OPERATORS[[#This Row],[Gaming Tax]]</f>
        <v>4738992</v>
      </c>
      <c r="M769" s="41"/>
    </row>
    <row r="770" spans="1:13" ht="14" x14ac:dyDescent="0.3">
      <c r="A770" s="18">
        <f t="shared" si="32"/>
        <v>769</v>
      </c>
      <c r="B770" s="3" t="s">
        <v>17</v>
      </c>
      <c r="C770" s="20" t="s">
        <v>62</v>
      </c>
      <c r="D770" s="20" t="str">
        <f t="shared" si="31"/>
        <v/>
      </c>
      <c r="E770" s="5">
        <v>45838</v>
      </c>
      <c r="F770" s="20" t="s">
        <v>15</v>
      </c>
      <c r="G770" s="7">
        <v>80358000</v>
      </c>
      <c r="H770" s="7">
        <v>47245000</v>
      </c>
      <c r="I770" s="7">
        <v>33113000</v>
      </c>
      <c r="J770" s="7"/>
      <c r="K770" s="7">
        <v>9933900</v>
      </c>
      <c r="L770" s="8">
        <f>OPERATORS[[#This Row],[Withholding Tax]]+OPERATORS[[#This Row],[Gaming Tax]]</f>
        <v>9933900</v>
      </c>
      <c r="M770" s="41"/>
    </row>
    <row r="771" spans="1:13" ht="14" x14ac:dyDescent="0.3">
      <c r="A771" s="18">
        <f t="shared" si="32"/>
        <v>770</v>
      </c>
      <c r="B771" s="3" t="s">
        <v>12</v>
      </c>
      <c r="C771" s="6" t="s">
        <v>58</v>
      </c>
      <c r="D771" s="20" t="str">
        <f t="shared" si="31"/>
        <v/>
      </c>
      <c r="E771" s="5">
        <v>45838</v>
      </c>
      <c r="F771" s="20" t="s">
        <v>15</v>
      </c>
      <c r="G771" s="7">
        <v>8598252000</v>
      </c>
      <c r="H771" s="7">
        <v>8249486000</v>
      </c>
      <c r="I771" s="7">
        <v>348766000</v>
      </c>
      <c r="J771" s="7">
        <v>1237422900</v>
      </c>
      <c r="K771" s="7">
        <v>71168000</v>
      </c>
      <c r="L771" s="8">
        <f>OPERATORS[[#This Row],[Withholding Tax]]+OPERATORS[[#This Row],[Gaming Tax]]</f>
        <v>1308590900</v>
      </c>
      <c r="M771" s="41"/>
    </row>
    <row r="772" spans="1:13" ht="14" x14ac:dyDescent="0.3">
      <c r="A772" s="18">
        <f t="shared" si="32"/>
        <v>771</v>
      </c>
      <c r="B772" s="3" t="s">
        <v>16</v>
      </c>
      <c r="C772" s="6" t="s">
        <v>58</v>
      </c>
      <c r="D772" s="20" t="str">
        <f t="shared" si="31"/>
        <v/>
      </c>
      <c r="E772" s="5">
        <v>45838</v>
      </c>
      <c r="F772" s="20" t="s">
        <v>15</v>
      </c>
      <c r="G772" s="7">
        <v>5372994769</v>
      </c>
      <c r="H772" s="7">
        <v>5041646809</v>
      </c>
      <c r="I772" s="7">
        <v>331347960</v>
      </c>
      <c r="J772" s="7">
        <v>0</v>
      </c>
      <c r="K772" s="7">
        <v>99404388</v>
      </c>
      <c r="L772" s="8">
        <f>OPERATORS[[#This Row],[Withholding Tax]]+OPERATORS[[#This Row],[Gaming Tax]]</f>
        <v>99404388</v>
      </c>
      <c r="M772" s="41"/>
    </row>
    <row r="773" spans="1:13" ht="14" x14ac:dyDescent="0.3">
      <c r="A773" s="18">
        <f t="shared" si="32"/>
        <v>772</v>
      </c>
      <c r="B773" s="3" t="s">
        <v>12</v>
      </c>
      <c r="C773" s="6" t="s">
        <v>35</v>
      </c>
      <c r="D773" s="20" t="str">
        <f t="shared" si="31"/>
        <v/>
      </c>
      <c r="E773" s="5">
        <v>45838</v>
      </c>
      <c r="F773" s="20" t="s">
        <v>15</v>
      </c>
      <c r="G773" s="7">
        <v>2504920000</v>
      </c>
      <c r="H773" s="7">
        <v>2407031000</v>
      </c>
      <c r="I773" s="7">
        <v>97889000</v>
      </c>
      <c r="J773" s="7">
        <v>361054650</v>
      </c>
      <c r="K773" s="7">
        <v>19919400</v>
      </c>
      <c r="L773" s="8">
        <f>OPERATORS[[#This Row],[Withholding Tax]]+OPERATORS[[#This Row],[Gaming Tax]]</f>
        <v>380974050</v>
      </c>
      <c r="M773" s="41"/>
    </row>
    <row r="774" spans="1:13" ht="14" x14ac:dyDescent="0.3">
      <c r="A774" s="18">
        <f t="shared" si="32"/>
        <v>773</v>
      </c>
      <c r="B774" s="3" t="s">
        <v>16</v>
      </c>
      <c r="C774" s="6" t="s">
        <v>35</v>
      </c>
      <c r="D774" s="20" t="str">
        <f t="shared" si="31"/>
        <v/>
      </c>
      <c r="E774" s="5">
        <v>45838</v>
      </c>
      <c r="F774" s="20" t="s">
        <v>15</v>
      </c>
      <c r="G774" s="7">
        <v>1942479660</v>
      </c>
      <c r="H774" s="7">
        <v>1819728720</v>
      </c>
      <c r="I774" s="7">
        <v>122750940</v>
      </c>
      <c r="J774" s="7">
        <v>0</v>
      </c>
      <c r="K774" s="7">
        <v>36938349</v>
      </c>
      <c r="L774" s="8">
        <f>OPERATORS[[#This Row],[Withholding Tax]]+OPERATORS[[#This Row],[Gaming Tax]]</f>
        <v>36938349</v>
      </c>
      <c r="M774" s="41"/>
    </row>
    <row r="775" spans="1:13" ht="14" x14ac:dyDescent="0.3">
      <c r="A775" s="18">
        <f t="shared" si="32"/>
        <v>774</v>
      </c>
      <c r="B775" s="3" t="s">
        <v>3</v>
      </c>
      <c r="C775" s="20" t="s">
        <v>76</v>
      </c>
      <c r="D775" s="20" t="str">
        <f t="shared" si="31"/>
        <v/>
      </c>
      <c r="E775" s="5">
        <v>45808</v>
      </c>
      <c r="F775" s="20" t="s">
        <v>15</v>
      </c>
      <c r="G775" s="7">
        <v>2090000</v>
      </c>
      <c r="H775" s="7" t="s">
        <v>19</v>
      </c>
      <c r="I775" s="7">
        <v>2090000</v>
      </c>
      <c r="J775" s="7"/>
      <c r="K775" s="7">
        <v>627000</v>
      </c>
      <c r="L775" s="8">
        <v>627000</v>
      </c>
      <c r="M775" s="41"/>
    </row>
    <row r="776" spans="1:13" ht="14" x14ac:dyDescent="0.3">
      <c r="A776" s="18">
        <f t="shared" si="32"/>
        <v>775</v>
      </c>
      <c r="B776" s="3" t="s">
        <v>12</v>
      </c>
      <c r="C776" s="6" t="s">
        <v>28</v>
      </c>
      <c r="D776" s="20" t="str">
        <f t="shared" si="31"/>
        <v/>
      </c>
      <c r="E776" s="5"/>
      <c r="F776" s="20"/>
      <c r="G776" s="7"/>
      <c r="H776" s="7"/>
      <c r="I776" s="7"/>
      <c r="J776" s="7"/>
      <c r="K776" s="7"/>
      <c r="L776" s="8">
        <f>OPERATORS[[#This Row],[Withholding Tax]]+OPERATORS[[#This Row],[Gaming Tax]]</f>
        <v>0</v>
      </c>
      <c r="M776" s="41"/>
    </row>
    <row r="777" spans="1:13" ht="14" x14ac:dyDescent="0.3">
      <c r="A777" s="18">
        <f t="shared" si="32"/>
        <v>776</v>
      </c>
      <c r="B777" s="3" t="s">
        <v>3</v>
      </c>
      <c r="C777" s="20" t="s">
        <v>33</v>
      </c>
      <c r="D777" s="20" t="str">
        <f t="shared" si="31"/>
        <v/>
      </c>
      <c r="E777" s="5">
        <v>45838</v>
      </c>
      <c r="F777" s="20" t="s">
        <v>15</v>
      </c>
      <c r="G777" s="7">
        <v>346255000</v>
      </c>
      <c r="H777" s="7">
        <v>338293000</v>
      </c>
      <c r="I777" s="7">
        <v>7962000</v>
      </c>
      <c r="J777" s="7">
        <v>0</v>
      </c>
      <c r="K777" s="7">
        <v>4233600</v>
      </c>
      <c r="L777" s="8">
        <f>OPERATORS[[#This Row],[Withholding Tax]]+OPERATORS[[#This Row],[Gaming Tax]]</f>
        <v>4233600</v>
      </c>
      <c r="M777" s="41"/>
    </row>
    <row r="778" spans="1:13" ht="14" x14ac:dyDescent="0.3">
      <c r="A778" s="18">
        <f t="shared" si="32"/>
        <v>777</v>
      </c>
      <c r="B778" s="3" t="s">
        <v>12</v>
      </c>
      <c r="C778" s="20" t="s">
        <v>32</v>
      </c>
      <c r="D778" s="20" t="str">
        <f t="shared" si="31"/>
        <v/>
      </c>
      <c r="E778" s="5">
        <v>45808</v>
      </c>
      <c r="F778" s="20" t="s">
        <v>15</v>
      </c>
      <c r="G778" s="7">
        <v>593084034</v>
      </c>
      <c r="H778" s="7">
        <v>440160239</v>
      </c>
      <c r="I778" s="7">
        <v>152923795</v>
      </c>
      <c r="J778" s="7">
        <v>66024036</v>
      </c>
      <c r="K778" s="7">
        <v>31833367</v>
      </c>
      <c r="L778" s="8">
        <f>OPERATORS[[#This Row],[Withholding Tax]]+OPERATORS[[#This Row],[Gaming Tax]]</f>
        <v>97857403</v>
      </c>
      <c r="M778" s="41"/>
    </row>
    <row r="779" spans="1:13" ht="14" x14ac:dyDescent="0.3">
      <c r="A779" s="18">
        <f>ROW(A770)</f>
        <v>770</v>
      </c>
      <c r="B779" s="3" t="s">
        <v>3</v>
      </c>
      <c r="C779" s="20" t="s">
        <v>32</v>
      </c>
      <c r="D779" s="20" t="str">
        <f t="shared" si="31"/>
        <v/>
      </c>
      <c r="E779" s="5">
        <v>45808</v>
      </c>
      <c r="F779" s="20" t="s">
        <v>15</v>
      </c>
      <c r="G779" s="7">
        <v>121237644</v>
      </c>
      <c r="H779" s="7">
        <v>92906473</v>
      </c>
      <c r="I779" s="7">
        <v>28331171</v>
      </c>
      <c r="J779" s="7">
        <v>0</v>
      </c>
      <c r="K779" s="7">
        <v>15745674</v>
      </c>
      <c r="L779" s="8">
        <f>OPERATORS[[#This Row],[Withholding Tax]]+OPERATORS[[#This Row],[Gaming Tax]]</f>
        <v>15745674</v>
      </c>
      <c r="M779" s="41"/>
    </row>
    <row r="780" spans="1:13" ht="14" x14ac:dyDescent="0.3">
      <c r="A780" s="18">
        <f t="shared" ref="A780:A786" si="33">ROW(A779)</f>
        <v>779</v>
      </c>
      <c r="B780" s="3" t="s">
        <v>12</v>
      </c>
      <c r="C780" s="20" t="s">
        <v>32</v>
      </c>
      <c r="D780" s="20" t="str">
        <f t="shared" si="31"/>
        <v/>
      </c>
      <c r="E780" s="5">
        <v>45838</v>
      </c>
      <c r="F780" s="20" t="s">
        <v>15</v>
      </c>
      <c r="G780" s="7">
        <v>482521285</v>
      </c>
      <c r="H780" s="7">
        <v>351864094</v>
      </c>
      <c r="I780" s="7">
        <v>130657191</v>
      </c>
      <c r="J780" s="7">
        <v>52779614</v>
      </c>
      <c r="K780" s="7">
        <v>26134161</v>
      </c>
      <c r="L780" s="8">
        <f>OPERATORS[[#This Row],[Withholding Tax]]+OPERATORS[[#This Row],[Gaming Tax]]</f>
        <v>78913775</v>
      </c>
      <c r="M780" s="41"/>
    </row>
    <row r="781" spans="1:13" ht="14" x14ac:dyDescent="0.3">
      <c r="A781" s="18">
        <f t="shared" si="33"/>
        <v>780</v>
      </c>
      <c r="B781" s="3" t="s">
        <v>3</v>
      </c>
      <c r="C781" s="20" t="s">
        <v>32</v>
      </c>
      <c r="D781" s="20" t="str">
        <f t="shared" si="31"/>
        <v/>
      </c>
      <c r="E781" s="5">
        <v>45838</v>
      </c>
      <c r="F781" s="20" t="s">
        <v>15</v>
      </c>
      <c r="G781" s="7">
        <v>104279912</v>
      </c>
      <c r="H781" s="7">
        <v>69547889</v>
      </c>
      <c r="I781" s="7">
        <v>34732023</v>
      </c>
      <c r="J781" s="7">
        <v>0</v>
      </c>
      <c r="K781" s="7">
        <v>14824657</v>
      </c>
      <c r="L781" s="8">
        <f>OPERATORS[[#This Row],[Withholding Tax]]+OPERATORS[[#This Row],[Gaming Tax]]</f>
        <v>14824657</v>
      </c>
      <c r="M781" s="41"/>
    </row>
    <row r="782" spans="1:13" ht="14" x14ac:dyDescent="0.3">
      <c r="A782" s="18">
        <f t="shared" si="33"/>
        <v>781</v>
      </c>
      <c r="B782" s="3" t="s">
        <v>3</v>
      </c>
      <c r="C782" s="20" t="s">
        <v>53</v>
      </c>
      <c r="D782" s="20" t="str">
        <f t="shared" si="31"/>
        <v/>
      </c>
      <c r="E782" s="5">
        <v>45808</v>
      </c>
      <c r="F782" s="20" t="s">
        <v>15</v>
      </c>
      <c r="G782" s="7">
        <v>2823570750</v>
      </c>
      <c r="H782" s="7">
        <v>2467672500</v>
      </c>
      <c r="I782" s="7">
        <v>355898250</v>
      </c>
      <c r="J782" s="7">
        <v>0</v>
      </c>
      <c r="K782" s="7">
        <v>210538425</v>
      </c>
      <c r="L782" s="8">
        <f>OPERATORS[[#This Row],[Withholding Tax]]+OPERATORS[[#This Row],[Gaming Tax]]</f>
        <v>210538425</v>
      </c>
      <c r="M782" s="41"/>
    </row>
    <row r="783" spans="1:13" ht="14" x14ac:dyDescent="0.3">
      <c r="A783" s="18">
        <f t="shared" si="33"/>
        <v>782</v>
      </c>
      <c r="B783" s="3" t="s">
        <v>3</v>
      </c>
      <c r="C783" s="20" t="s">
        <v>63</v>
      </c>
      <c r="D783" s="20" t="str">
        <f t="shared" si="31"/>
        <v/>
      </c>
      <c r="E783" s="5">
        <v>45808</v>
      </c>
      <c r="F783" s="20" t="s">
        <v>15</v>
      </c>
      <c r="G783" s="7">
        <v>2390227250</v>
      </c>
      <c r="H783" s="7">
        <v>2558797500</v>
      </c>
      <c r="I783" s="7">
        <v>-168570250</v>
      </c>
      <c r="J783" s="7">
        <v>0</v>
      </c>
      <c r="K783" s="7">
        <v>125665050</v>
      </c>
      <c r="L783" s="8">
        <f>OPERATORS[[#This Row],[Withholding Tax]]+OPERATORS[[#This Row],[Gaming Tax]]</f>
        <v>125665050</v>
      </c>
      <c r="M783" s="41"/>
    </row>
    <row r="784" spans="1:13" ht="14" x14ac:dyDescent="0.3">
      <c r="A784" s="18">
        <f t="shared" si="33"/>
        <v>783</v>
      </c>
      <c r="B784" s="3" t="s">
        <v>12</v>
      </c>
      <c r="C784" s="20" t="s">
        <v>74</v>
      </c>
      <c r="D784" s="20" t="str">
        <f t="shared" si="31"/>
        <v/>
      </c>
      <c r="E784" s="5">
        <v>45838</v>
      </c>
      <c r="F784" s="20" t="s">
        <v>15</v>
      </c>
      <c r="G784" s="7">
        <v>85001651</v>
      </c>
      <c r="H784" s="7">
        <v>46906800</v>
      </c>
      <c r="I784" s="7">
        <v>38094851</v>
      </c>
      <c r="J784" s="7">
        <v>7036020</v>
      </c>
      <c r="K784" s="7">
        <v>8475273</v>
      </c>
      <c r="L784" s="8">
        <f>OPERATORS[[#This Row],[Withholding Tax]]+OPERATORS[[#This Row],[Gaming Tax]]</f>
        <v>15511293</v>
      </c>
      <c r="M784" s="41"/>
    </row>
    <row r="785" spans="1:13" ht="14" x14ac:dyDescent="0.3">
      <c r="A785" s="18">
        <f t="shared" si="33"/>
        <v>784</v>
      </c>
      <c r="B785" s="3" t="s">
        <v>12</v>
      </c>
      <c r="C785" s="20" t="s">
        <v>74</v>
      </c>
      <c r="D785" s="20" t="str">
        <f t="shared" si="31"/>
        <v/>
      </c>
      <c r="E785" s="5">
        <v>45808</v>
      </c>
      <c r="F785" s="20" t="s">
        <v>15</v>
      </c>
      <c r="G785" s="7">
        <v>106900226</v>
      </c>
      <c r="H785" s="7">
        <v>61899588</v>
      </c>
      <c r="I785" s="7">
        <v>45000638</v>
      </c>
      <c r="J785" s="7">
        <v>9284938</v>
      </c>
      <c r="K785" s="7">
        <v>10297660</v>
      </c>
      <c r="L785" s="8">
        <f>OPERATORS[[#This Row],[Withholding Tax]]+OPERATORS[[#This Row],[Gaming Tax]]</f>
        <v>19582598</v>
      </c>
      <c r="M785" s="41"/>
    </row>
    <row r="786" spans="1:13" ht="14" x14ac:dyDescent="0.3">
      <c r="A786" s="18">
        <f t="shared" si="33"/>
        <v>785</v>
      </c>
      <c r="B786" s="3" t="s">
        <v>3</v>
      </c>
      <c r="C786" s="20" t="s">
        <v>63</v>
      </c>
      <c r="D786" s="20" t="str">
        <f t="shared" si="31"/>
        <v/>
      </c>
      <c r="E786" s="5">
        <v>45657</v>
      </c>
      <c r="F786" s="20" t="s">
        <v>14</v>
      </c>
      <c r="G786" s="7">
        <v>411988100</v>
      </c>
      <c r="H786" s="7">
        <v>295530250</v>
      </c>
      <c r="I786" s="7">
        <v>116457850</v>
      </c>
      <c r="J786" s="7">
        <v>0</v>
      </c>
      <c r="K786" s="7">
        <v>44705055</v>
      </c>
      <c r="L786" s="8">
        <f>OPERATORS[[#This Row],[Withholding Tax]]+OPERATORS[[#This Row],[Gaming Tax]]</f>
        <v>44705055</v>
      </c>
      <c r="M786" s="41"/>
    </row>
    <row r="787" spans="1:13" ht="14" x14ac:dyDescent="0.3">
      <c r="A787" s="18">
        <f>ROW(A770)</f>
        <v>770</v>
      </c>
      <c r="B787" s="3" t="s">
        <v>3</v>
      </c>
      <c r="C787" s="20" t="s">
        <v>63</v>
      </c>
      <c r="D787" s="20" t="str">
        <f t="shared" si="31"/>
        <v/>
      </c>
      <c r="E787" s="5">
        <v>45688</v>
      </c>
      <c r="F787" s="20" t="s">
        <v>13</v>
      </c>
      <c r="G787" s="7">
        <v>387948750</v>
      </c>
      <c r="H787" s="7">
        <v>302493250</v>
      </c>
      <c r="I787" s="7">
        <v>85455500</v>
      </c>
      <c r="J787" s="7">
        <v>0</v>
      </c>
      <c r="K787" s="7">
        <v>39852150</v>
      </c>
      <c r="L787" s="8">
        <f>OPERATORS[[#This Row],[Withholding Tax]]+OPERATORS[[#This Row],[Gaming Tax]]</f>
        <v>39852150</v>
      </c>
      <c r="M787" s="41"/>
    </row>
    <row r="788" spans="1:13" ht="14" x14ac:dyDescent="0.3">
      <c r="A788" s="18">
        <f t="shared" ref="A788:A807" si="34">ROW(A787)</f>
        <v>787</v>
      </c>
      <c r="B788" s="3" t="s">
        <v>3</v>
      </c>
      <c r="C788" s="20" t="s">
        <v>63</v>
      </c>
      <c r="D788" s="20" t="str">
        <f t="shared" si="31"/>
        <v/>
      </c>
      <c r="E788" s="5">
        <v>45716</v>
      </c>
      <c r="F788" s="20" t="s">
        <v>13</v>
      </c>
      <c r="G788" s="7">
        <v>350105750</v>
      </c>
      <c r="H788" s="7">
        <v>272342750</v>
      </c>
      <c r="I788" s="7">
        <v>77763000</v>
      </c>
      <c r="J788" s="7">
        <v>0</v>
      </c>
      <c r="K788" s="7">
        <v>37401300</v>
      </c>
      <c r="L788" s="8">
        <f>OPERATORS[[#This Row],[Withholding Tax]]+OPERATORS[[#This Row],[Gaming Tax]]</f>
        <v>37401300</v>
      </c>
      <c r="M788" s="41"/>
    </row>
    <row r="789" spans="1:13" ht="14" x14ac:dyDescent="0.3">
      <c r="A789" s="18">
        <f t="shared" si="34"/>
        <v>788</v>
      </c>
      <c r="B789" s="3" t="s">
        <v>3</v>
      </c>
      <c r="C789" s="20" t="s">
        <v>63</v>
      </c>
      <c r="D789" s="20" t="str">
        <f t="shared" si="31"/>
        <v/>
      </c>
      <c r="E789" s="5">
        <v>45747</v>
      </c>
      <c r="F789" s="20" t="s">
        <v>13</v>
      </c>
      <c r="G789" s="7">
        <v>2692121750</v>
      </c>
      <c r="H789" s="7">
        <v>2175992000</v>
      </c>
      <c r="I789" s="7">
        <v>516129750</v>
      </c>
      <c r="J789" s="7">
        <v>0</v>
      </c>
      <c r="K789" s="7">
        <v>228165450</v>
      </c>
      <c r="L789" s="8">
        <f>OPERATORS[[#This Row],[Withholding Tax]]+OPERATORS[[#This Row],[Gaming Tax]]</f>
        <v>228165450</v>
      </c>
      <c r="M789" s="41"/>
    </row>
    <row r="790" spans="1:13" ht="14" x14ac:dyDescent="0.3">
      <c r="A790" s="18">
        <f t="shared" si="34"/>
        <v>789</v>
      </c>
      <c r="B790" s="3" t="s">
        <v>3</v>
      </c>
      <c r="C790" s="20" t="s">
        <v>63</v>
      </c>
      <c r="D790" s="20" t="str">
        <f t="shared" si="31"/>
        <v/>
      </c>
      <c r="E790" s="5">
        <v>45777</v>
      </c>
      <c r="F790" s="20" t="s">
        <v>15</v>
      </c>
      <c r="G790" s="7">
        <v>2209443000</v>
      </c>
      <c r="H790" s="7">
        <v>2303798000</v>
      </c>
      <c r="I790" s="7">
        <v>-94355000</v>
      </c>
      <c r="J790" s="7">
        <v>0</v>
      </c>
      <c r="K790" s="7">
        <v>138342150</v>
      </c>
      <c r="L790" s="8">
        <f>OPERATORS[[#This Row],[Withholding Tax]]+OPERATORS[[#This Row],[Gaming Tax]]</f>
        <v>138342150</v>
      </c>
      <c r="M790" s="41"/>
    </row>
    <row r="791" spans="1:13" ht="14" x14ac:dyDescent="0.3">
      <c r="A791" s="18">
        <f t="shared" si="34"/>
        <v>790</v>
      </c>
      <c r="B791" s="3" t="s">
        <v>3</v>
      </c>
      <c r="C791" s="20" t="s">
        <v>63</v>
      </c>
      <c r="D791" s="20" t="str">
        <f t="shared" si="31"/>
        <v/>
      </c>
      <c r="E791" s="5">
        <v>45838</v>
      </c>
      <c r="F791" s="20" t="s">
        <v>15</v>
      </c>
      <c r="G791" s="7">
        <v>2283643000</v>
      </c>
      <c r="H791" s="7">
        <v>2375480250</v>
      </c>
      <c r="I791" s="7">
        <v>-91837250</v>
      </c>
      <c r="J791" s="7">
        <v>0</v>
      </c>
      <c r="K791" s="7">
        <v>141015675</v>
      </c>
      <c r="L791" s="8">
        <f>OPERATORS[[#This Row],[Withholding Tax]]+OPERATORS[[#This Row],[Gaming Tax]]</f>
        <v>141015675</v>
      </c>
      <c r="M791" s="41"/>
    </row>
    <row r="792" spans="1:13" ht="14" x14ac:dyDescent="0.3">
      <c r="A792" s="18">
        <f t="shared" si="34"/>
        <v>791</v>
      </c>
      <c r="B792" s="3" t="s">
        <v>3</v>
      </c>
      <c r="C792" s="20" t="s">
        <v>54</v>
      </c>
      <c r="D792" s="20" t="str">
        <f t="shared" si="31"/>
        <v/>
      </c>
      <c r="E792" s="5">
        <v>45777</v>
      </c>
      <c r="F792" s="20" t="s">
        <v>15</v>
      </c>
      <c r="G792" s="7">
        <v>173680000</v>
      </c>
      <c r="H792" s="7">
        <v>117165000</v>
      </c>
      <c r="I792" s="7">
        <v>56515000</v>
      </c>
      <c r="J792" s="7">
        <v>0</v>
      </c>
      <c r="K792" s="7">
        <v>19044000</v>
      </c>
      <c r="L792" s="8">
        <f>OPERATORS[[#This Row],[Withholding Tax]]+OPERATORS[[#This Row],[Gaming Tax]]</f>
        <v>19044000</v>
      </c>
      <c r="M792" s="41"/>
    </row>
    <row r="793" spans="1:13" ht="14" x14ac:dyDescent="0.3">
      <c r="A793" s="18">
        <f t="shared" si="34"/>
        <v>792</v>
      </c>
      <c r="B793" s="3" t="s">
        <v>3</v>
      </c>
      <c r="C793" s="20" t="s">
        <v>54</v>
      </c>
      <c r="D793" s="20" t="str">
        <f t="shared" si="31"/>
        <v/>
      </c>
      <c r="E793" s="5">
        <v>45808</v>
      </c>
      <c r="F793" s="20" t="s">
        <v>15</v>
      </c>
      <c r="G793" s="7">
        <v>279955000</v>
      </c>
      <c r="H793" s="7">
        <v>210628000</v>
      </c>
      <c r="I793" s="7">
        <v>69327000</v>
      </c>
      <c r="J793" s="7">
        <v>0</v>
      </c>
      <c r="K793" s="7">
        <v>20798100</v>
      </c>
      <c r="L793" s="8">
        <f>OPERATORS[[#This Row],[Withholding Tax]]+OPERATORS[[#This Row],[Gaming Tax]]</f>
        <v>20798100</v>
      </c>
      <c r="M793" s="41"/>
    </row>
    <row r="794" spans="1:13" ht="14" x14ac:dyDescent="0.3">
      <c r="A794" s="18">
        <f t="shared" si="34"/>
        <v>793</v>
      </c>
      <c r="B794" s="3" t="s">
        <v>3</v>
      </c>
      <c r="C794" s="20" t="s">
        <v>54</v>
      </c>
      <c r="D794" s="20" t="str">
        <f t="shared" si="31"/>
        <v/>
      </c>
      <c r="E794" s="5">
        <v>45838</v>
      </c>
      <c r="F794" s="20" t="s">
        <v>15</v>
      </c>
      <c r="G794" s="7">
        <v>203882000</v>
      </c>
      <c r="H794" s="7">
        <v>138706000</v>
      </c>
      <c r="I794" s="7">
        <v>65176000</v>
      </c>
      <c r="J794" s="7">
        <v>0</v>
      </c>
      <c r="K794" s="50">
        <v>19552800</v>
      </c>
      <c r="L794" s="8">
        <f>OPERATORS[[#This Row],[Withholding Tax]]+OPERATORS[[#This Row],[Gaming Tax]]</f>
        <v>19552800</v>
      </c>
      <c r="M794" s="41"/>
    </row>
    <row r="795" spans="1:13" ht="14" x14ac:dyDescent="0.3">
      <c r="A795" s="18">
        <f t="shared" si="34"/>
        <v>794</v>
      </c>
      <c r="B795" s="3" t="s">
        <v>12</v>
      </c>
      <c r="C795" s="6" t="s">
        <v>54</v>
      </c>
      <c r="D795" s="20" t="str">
        <f t="shared" si="31"/>
        <v/>
      </c>
      <c r="E795" s="5">
        <v>45808</v>
      </c>
      <c r="F795" s="20" t="s">
        <v>15</v>
      </c>
      <c r="G795" s="7">
        <v>24806780</v>
      </c>
      <c r="H795" s="7">
        <v>12414183</v>
      </c>
      <c r="I795" s="7">
        <v>12392597</v>
      </c>
      <c r="J795" s="7">
        <v>1862127</v>
      </c>
      <c r="K795" s="50">
        <v>2511342</v>
      </c>
      <c r="L795" s="8">
        <v>4373469</v>
      </c>
      <c r="M795" s="41"/>
    </row>
    <row r="796" spans="1:13" ht="14" x14ac:dyDescent="0.3">
      <c r="A796" s="18">
        <f t="shared" si="34"/>
        <v>795</v>
      </c>
      <c r="B796" s="3" t="s">
        <v>12</v>
      </c>
      <c r="C796" s="6" t="s">
        <v>54</v>
      </c>
      <c r="D796" s="20" t="str">
        <f t="shared" si="31"/>
        <v/>
      </c>
      <c r="E796" s="5">
        <v>45838</v>
      </c>
      <c r="F796" s="20" t="s">
        <v>15</v>
      </c>
      <c r="G796" s="7">
        <v>17046840</v>
      </c>
      <c r="H796" s="7">
        <v>8066276</v>
      </c>
      <c r="I796" s="7">
        <v>8980564</v>
      </c>
      <c r="J796" s="7">
        <v>1209941</v>
      </c>
      <c r="K796" s="50">
        <v>1796113</v>
      </c>
      <c r="L796" s="8">
        <v>3006054</v>
      </c>
      <c r="M796" s="41"/>
    </row>
    <row r="797" spans="1:13" ht="14" x14ac:dyDescent="0.3">
      <c r="A797" s="18">
        <f t="shared" si="34"/>
        <v>796</v>
      </c>
      <c r="B797" s="3" t="s">
        <v>16</v>
      </c>
      <c r="C797" s="20" t="s">
        <v>77</v>
      </c>
      <c r="D797" s="20" t="str">
        <f t="shared" ref="D797:D822" si="35">IFERROR(VLOOKUP(C797,OPerators_Range,2,FALSE),"")</f>
        <v/>
      </c>
      <c r="E797" s="5">
        <v>45808</v>
      </c>
      <c r="F797" s="20" t="s">
        <v>15</v>
      </c>
      <c r="G797" s="7">
        <v>814720800</v>
      </c>
      <c r="H797" s="7">
        <v>676954300</v>
      </c>
      <c r="I797" s="7">
        <v>137766500</v>
      </c>
      <c r="J797" s="7"/>
      <c r="K797" s="50">
        <v>41439699</v>
      </c>
      <c r="L797" s="8">
        <f>OPERATORS[[#This Row],[Withholding Tax]]+OPERATORS[[#This Row],[Gaming Tax]]</f>
        <v>41439699</v>
      </c>
      <c r="M797" s="41"/>
    </row>
    <row r="798" spans="1:13" ht="14" x14ac:dyDescent="0.3">
      <c r="A798" s="18">
        <f t="shared" si="34"/>
        <v>797</v>
      </c>
      <c r="B798" s="3" t="s">
        <v>16</v>
      </c>
      <c r="C798" s="20" t="s">
        <v>77</v>
      </c>
      <c r="D798" s="20" t="str">
        <f t="shared" si="35"/>
        <v/>
      </c>
      <c r="E798" s="5">
        <v>45838</v>
      </c>
      <c r="F798" s="20" t="s">
        <v>15</v>
      </c>
      <c r="G798" s="7">
        <v>734887300</v>
      </c>
      <c r="H798" s="7">
        <v>586128170</v>
      </c>
      <c r="I798" s="7">
        <v>148759130</v>
      </c>
      <c r="J798" s="7"/>
      <c r="K798" s="50">
        <v>44627739</v>
      </c>
      <c r="L798" s="8">
        <f>OPERATORS[[#This Row],[Withholding Tax]]+OPERATORS[[#This Row],[Gaming Tax]]</f>
        <v>44627739</v>
      </c>
      <c r="M798" s="41"/>
    </row>
    <row r="799" spans="1:13" ht="14" x14ac:dyDescent="0.3">
      <c r="A799" s="18">
        <f t="shared" si="34"/>
        <v>798</v>
      </c>
      <c r="B799" s="3" t="s">
        <v>12</v>
      </c>
      <c r="C799" s="6" t="s">
        <v>49</v>
      </c>
      <c r="D799" s="20" t="str">
        <f t="shared" si="35"/>
        <v/>
      </c>
      <c r="E799" s="5">
        <v>45838</v>
      </c>
      <c r="F799" s="20" t="s">
        <v>15</v>
      </c>
      <c r="G799" s="7">
        <v>5103838</v>
      </c>
      <c r="H799" s="7">
        <v>5627489</v>
      </c>
      <c r="I799" s="7">
        <v>-523651</v>
      </c>
      <c r="J799" s="7">
        <v>844123.32</v>
      </c>
      <c r="K799" s="50">
        <v>107803.08</v>
      </c>
      <c r="L799" s="8">
        <f>OPERATORS[[#This Row],[Withholding Tax]]+OPERATORS[[#This Row],[Gaming Tax]]</f>
        <v>951926.39999999991</v>
      </c>
      <c r="M799" s="41"/>
    </row>
    <row r="800" spans="1:13" ht="14" x14ac:dyDescent="0.3">
      <c r="A800" s="18">
        <f t="shared" si="34"/>
        <v>799</v>
      </c>
      <c r="B800" s="3" t="s">
        <v>16</v>
      </c>
      <c r="C800" s="20" t="s">
        <v>63</v>
      </c>
      <c r="D800" s="20" t="str">
        <f t="shared" si="35"/>
        <v/>
      </c>
      <c r="E800" s="5">
        <v>45688</v>
      </c>
      <c r="F800" s="20" t="s">
        <v>13</v>
      </c>
      <c r="G800" s="7">
        <v>98030000</v>
      </c>
      <c r="H800" s="7">
        <v>93020000</v>
      </c>
      <c r="I800" s="7">
        <v>5010000</v>
      </c>
      <c r="J800" s="7"/>
      <c r="K800" s="50">
        <v>1503000</v>
      </c>
      <c r="L800" s="8">
        <f>OPERATORS[[#This Row],[Withholding Tax]]+OPERATORS[[#This Row],[Gaming Tax]]</f>
        <v>1503000</v>
      </c>
      <c r="M800" s="41"/>
    </row>
    <row r="801" spans="1:13" ht="14" x14ac:dyDescent="0.3">
      <c r="A801" s="18">
        <f t="shared" si="34"/>
        <v>800</v>
      </c>
      <c r="B801" s="3" t="s">
        <v>16</v>
      </c>
      <c r="C801" s="20" t="s">
        <v>63</v>
      </c>
      <c r="D801" s="20" t="str">
        <f t="shared" si="35"/>
        <v/>
      </c>
      <c r="E801" s="5">
        <v>45716</v>
      </c>
      <c r="F801" s="20" t="s">
        <v>13</v>
      </c>
      <c r="G801" s="7">
        <v>83170000</v>
      </c>
      <c r="H801" s="7">
        <v>78530000</v>
      </c>
      <c r="I801" s="7">
        <v>4640000</v>
      </c>
      <c r="J801" s="7"/>
      <c r="K801" s="50">
        <v>1392000</v>
      </c>
      <c r="L801" s="8">
        <f>OPERATORS[[#This Row],[Withholding Tax]]+OPERATORS[[#This Row],[Gaming Tax]]</f>
        <v>1392000</v>
      </c>
      <c r="M801" s="41"/>
    </row>
    <row r="802" spans="1:13" ht="14" x14ac:dyDescent="0.3">
      <c r="A802" s="18">
        <f t="shared" si="34"/>
        <v>801</v>
      </c>
      <c r="B802" s="3" t="s">
        <v>16</v>
      </c>
      <c r="C802" s="20" t="s">
        <v>63</v>
      </c>
      <c r="D802" s="20" t="str">
        <f t="shared" si="35"/>
        <v/>
      </c>
      <c r="E802" s="5">
        <v>45747</v>
      </c>
      <c r="F802" s="20" t="s">
        <v>13</v>
      </c>
      <c r="G802" s="7">
        <v>46626000</v>
      </c>
      <c r="H802" s="7">
        <v>43755000</v>
      </c>
      <c r="I802" s="7">
        <v>2871000</v>
      </c>
      <c r="J802" s="7"/>
      <c r="K802" s="50">
        <v>861300</v>
      </c>
      <c r="L802" s="8">
        <f>OPERATORS[[#This Row],[Withholding Tax]]+OPERATORS[[#This Row],[Gaming Tax]]</f>
        <v>861300</v>
      </c>
      <c r="M802" s="41"/>
    </row>
    <row r="803" spans="1:13" ht="14" x14ac:dyDescent="0.3">
      <c r="A803" s="18">
        <f t="shared" si="34"/>
        <v>802</v>
      </c>
      <c r="B803" s="3" t="s">
        <v>16</v>
      </c>
      <c r="C803" s="20" t="s">
        <v>63</v>
      </c>
      <c r="D803" s="20" t="str">
        <f t="shared" si="35"/>
        <v/>
      </c>
      <c r="E803" s="5">
        <v>45777</v>
      </c>
      <c r="F803" s="20" t="s">
        <v>15</v>
      </c>
      <c r="G803" s="7">
        <v>64194000</v>
      </c>
      <c r="H803" s="7">
        <v>60204000</v>
      </c>
      <c r="I803" s="7">
        <v>3990000</v>
      </c>
      <c r="J803" s="7"/>
      <c r="K803" s="50">
        <v>1197000</v>
      </c>
      <c r="L803" s="8">
        <f>OPERATORS[[#This Row],[Withholding Tax]]+OPERATORS[[#This Row],[Gaming Tax]]</f>
        <v>1197000</v>
      </c>
      <c r="M803" s="41"/>
    </row>
    <row r="804" spans="1:13" ht="14" x14ac:dyDescent="0.3">
      <c r="A804" s="18">
        <f t="shared" si="34"/>
        <v>803</v>
      </c>
      <c r="B804" s="3" t="s">
        <v>16</v>
      </c>
      <c r="C804" s="20" t="s">
        <v>63</v>
      </c>
      <c r="D804" s="20" t="str">
        <f t="shared" si="35"/>
        <v/>
      </c>
      <c r="E804" s="5">
        <v>45808</v>
      </c>
      <c r="F804" s="20" t="s">
        <v>15</v>
      </c>
      <c r="G804" s="7">
        <v>82529000</v>
      </c>
      <c r="H804" s="7">
        <v>77332000</v>
      </c>
      <c r="I804" s="7">
        <v>5197000</v>
      </c>
      <c r="J804" s="7"/>
      <c r="K804" s="50">
        <v>1559100</v>
      </c>
      <c r="L804" s="8">
        <f>OPERATORS[[#This Row],[Withholding Tax]]+OPERATORS[[#This Row],[Gaming Tax]]</f>
        <v>1559100</v>
      </c>
      <c r="M804" s="41"/>
    </row>
    <row r="805" spans="1:13" ht="14" x14ac:dyDescent="0.3">
      <c r="A805" s="18">
        <f t="shared" si="34"/>
        <v>804</v>
      </c>
      <c r="B805" s="3" t="s">
        <v>16</v>
      </c>
      <c r="C805" s="20" t="s">
        <v>63</v>
      </c>
      <c r="D805" s="20" t="str">
        <f t="shared" si="35"/>
        <v/>
      </c>
      <c r="E805" s="5">
        <v>45838</v>
      </c>
      <c r="F805" s="20" t="s">
        <v>15</v>
      </c>
      <c r="G805" s="7">
        <v>97827000</v>
      </c>
      <c r="H805" s="7">
        <v>92590000</v>
      </c>
      <c r="I805" s="7">
        <v>5237000</v>
      </c>
      <c r="J805" s="7"/>
      <c r="K805" s="50">
        <v>1571100</v>
      </c>
      <c r="L805" s="8">
        <f>OPERATORS[[#This Row],[Withholding Tax]]+OPERATORS[[#This Row],[Gaming Tax]]</f>
        <v>1571100</v>
      </c>
      <c r="M805" s="41"/>
    </row>
    <row r="806" spans="1:13" ht="14" x14ac:dyDescent="0.3">
      <c r="A806" s="18">
        <f t="shared" si="34"/>
        <v>805</v>
      </c>
      <c r="B806" s="3" t="s">
        <v>12</v>
      </c>
      <c r="C806" s="20" t="s">
        <v>31</v>
      </c>
      <c r="D806" s="20" t="str">
        <f t="shared" si="35"/>
        <v/>
      </c>
      <c r="E806" s="5">
        <v>45808</v>
      </c>
      <c r="F806" s="20" t="s">
        <v>15</v>
      </c>
      <c r="G806" s="7">
        <v>21780178</v>
      </c>
      <c r="H806" s="7">
        <v>18811295</v>
      </c>
      <c r="I806" s="7">
        <v>2968883</v>
      </c>
      <c r="J806" s="7">
        <v>2821694.25</v>
      </c>
      <c r="K806" s="50">
        <v>1551593.8</v>
      </c>
      <c r="L806" s="8">
        <f>OPERATORS[[#This Row],[Withholding Tax]]+OPERATORS[[#This Row],[Gaming Tax]]</f>
        <v>4373288.05</v>
      </c>
      <c r="M806" s="8"/>
    </row>
    <row r="807" spans="1:13" ht="14" x14ac:dyDescent="0.3">
      <c r="A807" s="18">
        <f t="shared" si="34"/>
        <v>806</v>
      </c>
      <c r="B807" s="3" t="s">
        <v>12</v>
      </c>
      <c r="C807" s="20" t="s">
        <v>31</v>
      </c>
      <c r="D807" s="20" t="str">
        <f t="shared" si="35"/>
        <v/>
      </c>
      <c r="E807" s="5">
        <v>45838</v>
      </c>
      <c r="F807" s="20" t="s">
        <v>15</v>
      </c>
      <c r="G807" s="7">
        <v>21796288</v>
      </c>
      <c r="H807" s="7">
        <v>8206550</v>
      </c>
      <c r="I807" s="7">
        <v>13589738</v>
      </c>
      <c r="J807" s="7">
        <v>1230982.5</v>
      </c>
      <c r="K807" s="50">
        <v>2897353.4</v>
      </c>
      <c r="L807" s="8">
        <f>OPERATORS[[#This Row],[Withholding Tax]]+OPERATORS[[#This Row],[Gaming Tax]]</f>
        <v>4128335.9</v>
      </c>
      <c r="M807" s="41"/>
    </row>
    <row r="808" spans="1:13" ht="14" x14ac:dyDescent="0.3">
      <c r="A808" s="18">
        <f>ROW(A806)</f>
        <v>806</v>
      </c>
      <c r="B808" s="3" t="s">
        <v>3</v>
      </c>
      <c r="C808" s="20" t="s">
        <v>66</v>
      </c>
      <c r="D808" s="20" t="str">
        <f t="shared" si="35"/>
        <v/>
      </c>
      <c r="E808" s="5">
        <v>45838</v>
      </c>
      <c r="F808" s="20" t="s">
        <v>15</v>
      </c>
      <c r="G808" s="7">
        <v>30356310</v>
      </c>
      <c r="H808" s="7">
        <v>26045675</v>
      </c>
      <c r="I808" s="7">
        <v>4328535</v>
      </c>
      <c r="J808" s="7">
        <v>0</v>
      </c>
      <c r="K808" s="50">
        <v>4299191</v>
      </c>
      <c r="L808" s="8">
        <f>OPERATORS[[#This Row],[Withholding Tax]]+OPERATORS[[#This Row],[Gaming Tax]]</f>
        <v>4299191</v>
      </c>
      <c r="M808" s="41"/>
    </row>
    <row r="809" spans="1:13" ht="14" x14ac:dyDescent="0.3">
      <c r="A809" s="18">
        <f>ROW(A808)</f>
        <v>808</v>
      </c>
      <c r="B809" s="3" t="s">
        <v>17</v>
      </c>
      <c r="C809" s="20" t="s">
        <v>62</v>
      </c>
      <c r="D809" s="20" t="str">
        <f t="shared" si="35"/>
        <v/>
      </c>
      <c r="E809" s="5">
        <v>45838</v>
      </c>
      <c r="F809" s="20" t="s">
        <v>15</v>
      </c>
      <c r="G809" s="7">
        <v>1003332000</v>
      </c>
      <c r="H809" s="7">
        <v>757416420</v>
      </c>
      <c r="I809" s="7">
        <v>245915580</v>
      </c>
      <c r="J809" s="7">
        <v>0</v>
      </c>
      <c r="K809" s="50">
        <v>73774674</v>
      </c>
      <c r="L809" s="8">
        <f>OPERATORS[[#This Row],[Withholding Tax]]+OPERATORS[[#This Row],[Gaming Tax]]</f>
        <v>73774674</v>
      </c>
      <c r="M809" s="41"/>
    </row>
    <row r="810" spans="1:13" ht="14" x14ac:dyDescent="0.3">
      <c r="A810" s="18">
        <f>ROW(A809)</f>
        <v>809</v>
      </c>
      <c r="B810" s="3" t="s">
        <v>3</v>
      </c>
      <c r="C810" s="20" t="s">
        <v>64</v>
      </c>
      <c r="D810" s="20" t="str">
        <f t="shared" si="35"/>
        <v/>
      </c>
      <c r="E810" s="5">
        <v>45777</v>
      </c>
      <c r="F810" s="20" t="s">
        <v>15</v>
      </c>
      <c r="G810" s="7">
        <v>798278869</v>
      </c>
      <c r="H810" s="7">
        <v>538465657</v>
      </c>
      <c r="I810" s="7">
        <v>259813212</v>
      </c>
      <c r="J810" s="7">
        <v>0</v>
      </c>
      <c r="K810" s="50">
        <v>77943964</v>
      </c>
      <c r="L810" s="8">
        <f>OPERATORS[[#This Row],[Withholding Tax]]+OPERATORS[[#This Row],[Gaming Tax]]</f>
        <v>77943964</v>
      </c>
      <c r="M810" s="41"/>
    </row>
    <row r="811" spans="1:13" ht="14" x14ac:dyDescent="0.3">
      <c r="A811" s="18">
        <f>ROW(A810)</f>
        <v>810</v>
      </c>
      <c r="B811" s="3" t="s">
        <v>12</v>
      </c>
      <c r="C811" s="20" t="s">
        <v>64</v>
      </c>
      <c r="D811" s="20" t="str">
        <f t="shared" si="35"/>
        <v/>
      </c>
      <c r="E811" s="5">
        <v>45777</v>
      </c>
      <c r="F811" s="20" t="s">
        <v>15</v>
      </c>
      <c r="G811" s="7">
        <v>276300779</v>
      </c>
      <c r="H811" s="7">
        <v>226999229</v>
      </c>
      <c r="I811" s="50">
        <v>53272601</v>
      </c>
      <c r="J811" s="50">
        <v>34049884</v>
      </c>
      <c r="K811" s="50">
        <v>10654520</v>
      </c>
      <c r="L811" s="8">
        <f>OPERATORS[[#This Row],[Withholding Tax]]+OPERATORS[[#This Row],[Gaming Tax]]</f>
        <v>44704404</v>
      </c>
      <c r="M811" s="41"/>
    </row>
    <row r="812" spans="1:13" ht="14" x14ac:dyDescent="0.3">
      <c r="A812" s="18">
        <f>ROW(A811)</f>
        <v>811</v>
      </c>
      <c r="B812" s="3" t="s">
        <v>16</v>
      </c>
      <c r="C812" s="6" t="s">
        <v>58</v>
      </c>
      <c r="D812" s="20" t="str">
        <f t="shared" si="35"/>
        <v/>
      </c>
      <c r="E812" s="5">
        <v>45808</v>
      </c>
      <c r="F812" s="20" t="s">
        <v>15</v>
      </c>
      <c r="G812" s="7">
        <v>5201030670</v>
      </c>
      <c r="H812" s="7">
        <v>4969804352</v>
      </c>
      <c r="I812" s="50">
        <v>231226318</v>
      </c>
      <c r="J812" s="50"/>
      <c r="K812" s="50">
        <v>69367895.400000006</v>
      </c>
      <c r="L812" s="8">
        <f>OPERATORS[[#This Row],[Withholding Tax]]+OPERATORS[[#This Row],[Gaming Tax]]</f>
        <v>69367895.400000006</v>
      </c>
      <c r="M812" s="41"/>
    </row>
    <row r="813" spans="1:13" ht="14" x14ac:dyDescent="0.3">
      <c r="A813" s="18">
        <f>ROW(A811)</f>
        <v>811</v>
      </c>
      <c r="B813" s="3" t="s">
        <v>12</v>
      </c>
      <c r="C813" s="6" t="s">
        <v>58</v>
      </c>
      <c r="D813" s="20" t="str">
        <f t="shared" si="35"/>
        <v/>
      </c>
      <c r="E813" s="5">
        <v>45808</v>
      </c>
      <c r="F813" s="20" t="s">
        <v>15</v>
      </c>
      <c r="G813" s="7">
        <v>8780105189</v>
      </c>
      <c r="H813" s="7">
        <v>8389507432</v>
      </c>
      <c r="I813" s="50">
        <v>390597757</v>
      </c>
      <c r="J813" s="50">
        <v>1317015778.3499999</v>
      </c>
      <c r="K813" s="50">
        <v>80276437.799999997</v>
      </c>
      <c r="L813" s="8">
        <f>OPERATORS[[#This Row],[Withholding Tax]]+OPERATORS[[#This Row],[Gaming Tax]]</f>
        <v>1397292216.1499999</v>
      </c>
      <c r="M813" s="41"/>
    </row>
    <row r="814" spans="1:13" ht="14" x14ac:dyDescent="0.3">
      <c r="A814" s="18">
        <f>ROW(A811)</f>
        <v>811</v>
      </c>
      <c r="B814" s="3" t="s">
        <v>12</v>
      </c>
      <c r="C814" s="6" t="s">
        <v>35</v>
      </c>
      <c r="D814" s="20" t="str">
        <f t="shared" si="35"/>
        <v/>
      </c>
      <c r="E814" s="5">
        <v>45808</v>
      </c>
      <c r="F814" s="20" t="s">
        <v>15</v>
      </c>
      <c r="G814" s="7">
        <v>2343515000</v>
      </c>
      <c r="H814" s="7">
        <v>2204231000</v>
      </c>
      <c r="I814" s="50">
        <v>139284000</v>
      </c>
      <c r="J814" s="50">
        <v>330634650</v>
      </c>
      <c r="K814" s="50">
        <v>27856800</v>
      </c>
      <c r="L814" s="8">
        <v>358491450</v>
      </c>
      <c r="M814" s="41"/>
    </row>
    <row r="815" spans="1:13" ht="14" x14ac:dyDescent="0.3">
      <c r="A815" s="18">
        <f>ROW(A811)</f>
        <v>811</v>
      </c>
      <c r="B815" s="3" t="s">
        <v>16</v>
      </c>
      <c r="C815" s="6" t="s">
        <v>35</v>
      </c>
      <c r="D815" s="20" t="str">
        <f t="shared" si="35"/>
        <v/>
      </c>
      <c r="E815" s="5">
        <v>45808</v>
      </c>
      <c r="F815" s="20" t="s">
        <v>15</v>
      </c>
      <c r="G815" s="7">
        <v>1992508290</v>
      </c>
      <c r="H815" s="7">
        <v>1891694400</v>
      </c>
      <c r="I815" s="50">
        <v>100813890</v>
      </c>
      <c r="J815" s="7">
        <v>0</v>
      </c>
      <c r="K815" s="50">
        <v>30250377</v>
      </c>
      <c r="L815" s="8">
        <v>30250377</v>
      </c>
      <c r="M815" s="41"/>
    </row>
    <row r="816" spans="1:13" ht="14" x14ac:dyDescent="0.3">
      <c r="A816" s="18">
        <f>ROW(A767)</f>
        <v>767</v>
      </c>
      <c r="B816" s="3" t="s">
        <v>12</v>
      </c>
      <c r="C816" s="6" t="s">
        <v>43</v>
      </c>
      <c r="D816" s="35" t="str">
        <f t="shared" si="35"/>
        <v/>
      </c>
      <c r="E816" s="5">
        <v>45838</v>
      </c>
      <c r="F816" s="20" t="s">
        <v>15</v>
      </c>
      <c r="G816" s="7">
        <v>30200441.149999999</v>
      </c>
      <c r="H816" s="7">
        <v>26247461.34</v>
      </c>
      <c r="I816" s="7">
        <v>3952979.81</v>
      </c>
      <c r="J816" s="7">
        <v>3937119.2</v>
      </c>
      <c r="K816" s="7">
        <v>1030131.41</v>
      </c>
      <c r="L816" s="8">
        <f>OPERATORS[[#This Row],[Withholding Tax]]+OPERATORS[[#This Row],[Gaming Tax]]</f>
        <v>4967250.6100000003</v>
      </c>
      <c r="M816" s="41"/>
    </row>
    <row r="817" spans="1:14" ht="14" x14ac:dyDescent="0.3">
      <c r="A817" s="18">
        <f t="shared" ref="A817:A822" si="36">ROW(A816)</f>
        <v>816</v>
      </c>
      <c r="B817" s="3" t="s">
        <v>12</v>
      </c>
      <c r="C817" s="6" t="s">
        <v>43</v>
      </c>
      <c r="D817" s="20" t="str">
        <f t="shared" si="35"/>
        <v/>
      </c>
      <c r="E817" s="5">
        <v>45808</v>
      </c>
      <c r="F817" s="20" t="s">
        <v>15</v>
      </c>
      <c r="G817" s="7">
        <v>19404859.640000001</v>
      </c>
      <c r="H817" s="7">
        <v>16918453.809999999</v>
      </c>
      <c r="I817" s="7">
        <v>2486405.83</v>
      </c>
      <c r="J817" s="7">
        <v>2537768.0699999998</v>
      </c>
      <c r="K817" s="7">
        <v>858195.65</v>
      </c>
      <c r="L817" s="8">
        <f>OPERATORS[[#This Row],[Withholding Tax]]+OPERATORS[[#This Row],[Gaming Tax]]</f>
        <v>3395963.7199999997</v>
      </c>
      <c r="M817" s="41"/>
    </row>
    <row r="818" spans="1:14" ht="14" x14ac:dyDescent="0.3">
      <c r="A818" s="18">
        <f t="shared" si="36"/>
        <v>817</v>
      </c>
      <c r="B818" s="3" t="s">
        <v>12</v>
      </c>
      <c r="C818" s="6" t="s">
        <v>43</v>
      </c>
      <c r="D818" s="20" t="str">
        <f t="shared" si="35"/>
        <v/>
      </c>
      <c r="E818" s="5">
        <v>45777</v>
      </c>
      <c r="F818" s="20" t="s">
        <v>15</v>
      </c>
      <c r="G818" s="7">
        <v>17526437</v>
      </c>
      <c r="H818" s="7">
        <v>16339086.720000001</v>
      </c>
      <c r="I818" s="7">
        <v>1187350.28</v>
      </c>
      <c r="J818" s="7">
        <v>2450863.0099999998</v>
      </c>
      <c r="K818" s="7">
        <v>791775.88</v>
      </c>
      <c r="L818" s="8">
        <f>OPERATORS[[#This Row],[Withholding Tax]]+OPERATORS[[#This Row],[Gaming Tax]]</f>
        <v>3242638.8899999997</v>
      </c>
      <c r="M818" s="41"/>
    </row>
    <row r="819" spans="1:14" ht="14" x14ac:dyDescent="0.3">
      <c r="A819" s="18">
        <f t="shared" si="36"/>
        <v>818</v>
      </c>
      <c r="B819" s="3" t="s">
        <v>12</v>
      </c>
      <c r="C819" s="6" t="s">
        <v>43</v>
      </c>
      <c r="D819" s="20" t="str">
        <f t="shared" si="35"/>
        <v/>
      </c>
      <c r="E819" s="5">
        <v>45747</v>
      </c>
      <c r="F819" s="20" t="s">
        <v>13</v>
      </c>
      <c r="G819" s="7">
        <v>104630458</v>
      </c>
      <c r="H819" s="7">
        <v>111236483.70999999</v>
      </c>
      <c r="I819" s="7">
        <v>-6606025.71</v>
      </c>
      <c r="J819" s="7">
        <v>16685472.560000001</v>
      </c>
      <c r="K819" s="7">
        <v>3468697.88</v>
      </c>
      <c r="L819" s="8">
        <f>OPERATORS[[#This Row],[Withholding Tax]]+OPERATORS[[#This Row],[Gaming Tax]]</f>
        <v>20154170.440000001</v>
      </c>
      <c r="M819" s="41"/>
    </row>
    <row r="820" spans="1:14" ht="14" x14ac:dyDescent="0.3">
      <c r="A820" s="18">
        <f t="shared" si="36"/>
        <v>819</v>
      </c>
      <c r="B820" s="3" t="s">
        <v>12</v>
      </c>
      <c r="C820" s="6" t="s">
        <v>43</v>
      </c>
      <c r="D820" s="20" t="str">
        <f t="shared" si="35"/>
        <v/>
      </c>
      <c r="E820" s="5">
        <v>45716</v>
      </c>
      <c r="F820" s="20" t="s">
        <v>13</v>
      </c>
      <c r="G820" s="7">
        <v>278164256</v>
      </c>
      <c r="H820" s="7">
        <v>279551055.04000002</v>
      </c>
      <c r="I820" s="7">
        <v>-1386799.04</v>
      </c>
      <c r="J820" s="7">
        <v>41932658.259999998</v>
      </c>
      <c r="K820" s="7">
        <v>2917682.73</v>
      </c>
      <c r="L820" s="8">
        <f>OPERATORS[[#This Row],[Withholding Tax]]+OPERATORS[[#This Row],[Gaming Tax]]</f>
        <v>44850340.989999995</v>
      </c>
      <c r="M820" s="41"/>
    </row>
    <row r="821" spans="1:14" ht="14" x14ac:dyDescent="0.3">
      <c r="A821" s="18">
        <f t="shared" si="36"/>
        <v>820</v>
      </c>
      <c r="B821" s="3" t="s">
        <v>12</v>
      </c>
      <c r="C821" s="6" t="s">
        <v>43</v>
      </c>
      <c r="D821" s="20" t="str">
        <f t="shared" si="35"/>
        <v/>
      </c>
      <c r="E821" s="5">
        <v>45688</v>
      </c>
      <c r="F821" s="20" t="s">
        <v>13</v>
      </c>
      <c r="G821" s="7">
        <v>436458</v>
      </c>
      <c r="H821" s="7">
        <v>374370.1</v>
      </c>
      <c r="I821" s="7">
        <v>62087.9</v>
      </c>
      <c r="J821" s="7">
        <v>56155.519999999997</v>
      </c>
      <c r="K821" s="7">
        <v>28688.75</v>
      </c>
      <c r="L821" s="8">
        <f>OPERATORS[[#This Row],[Withholding Tax]]+OPERATORS[[#This Row],[Gaming Tax]]</f>
        <v>84844.26999999999</v>
      </c>
      <c r="M821" s="41"/>
    </row>
    <row r="822" spans="1:14" ht="14" x14ac:dyDescent="0.3">
      <c r="A822" s="18">
        <f t="shared" si="36"/>
        <v>821</v>
      </c>
      <c r="B822" s="3"/>
      <c r="C822" s="6"/>
      <c r="D822" s="20" t="str">
        <f t="shared" si="35"/>
        <v/>
      </c>
      <c r="E822" s="5"/>
      <c r="F822" s="20"/>
      <c r="G822" s="7"/>
      <c r="H822" s="7"/>
      <c r="I822" s="7"/>
      <c r="J822" s="7"/>
      <c r="K822" s="7"/>
      <c r="L822" s="8"/>
      <c r="M822" s="41"/>
    </row>
    <row r="823" spans="1:14" ht="14" x14ac:dyDescent="0.3">
      <c r="A823" s="2">
        <f>ROW(A822)</f>
        <v>822</v>
      </c>
      <c r="B823" s="3"/>
      <c r="C823" s="20" t="s">
        <v>48</v>
      </c>
      <c r="D823" s="4" t="str">
        <f>IFERROR(VLOOKUP(C823,OPerators_Range,2,FALSE),"")</f>
        <v/>
      </c>
      <c r="E823" s="5"/>
      <c r="F823" s="4"/>
      <c r="G823" s="7"/>
      <c r="H823" s="7"/>
      <c r="I823" s="7"/>
      <c r="J823" s="7"/>
      <c r="K823" s="7"/>
      <c r="L823" s="8"/>
    </row>
    <row r="824" spans="1:14" ht="15" customHeight="1" x14ac:dyDescent="0.3">
      <c r="A824" s="52"/>
      <c r="B824" s="53"/>
      <c r="C824" s="53"/>
      <c r="D824" s="54"/>
      <c r="E824" s="55"/>
      <c r="F824" s="53"/>
      <c r="G824" s="56">
        <f>SUBTOTAL(9,G2:G823)</f>
        <v>8306631145583.29</v>
      </c>
      <c r="H824" s="56">
        <f>SUBTOTAL(9,H2:H823)</f>
        <v>7785126048572.0186</v>
      </c>
      <c r="I824" s="56">
        <f>SUBTOTAL(9,I2:I823)</f>
        <v>522818927408.27008</v>
      </c>
      <c r="J824" s="56">
        <f>SUBTOTAL(9,J2:J823)</f>
        <v>476930594751.92645</v>
      </c>
      <c r="K824" s="56">
        <f>SUBTOTAL(9,K2:K823)</f>
        <v>137581486793.3576</v>
      </c>
      <c r="L824" s="56">
        <f>SUBTOTAL(9,L2:L823)</f>
        <v>614600994862.28418</v>
      </c>
    </row>
    <row r="826" spans="1:14" ht="14.5" x14ac:dyDescent="0.35">
      <c r="G826" s="60"/>
      <c r="H826" s="60"/>
      <c r="L826" s="62"/>
    </row>
    <row r="827" spans="1:14" ht="14.5" x14ac:dyDescent="0.35">
      <c r="N827" s="41" t="s">
        <v>24</v>
      </c>
    </row>
    <row r="828" spans="1:14" ht="14.5" x14ac:dyDescent="0.35">
      <c r="D828" s="58" t="s">
        <v>24</v>
      </c>
    </row>
    <row r="830" spans="1:14" ht="15" customHeight="1" x14ac:dyDescent="0.35">
      <c r="G830" s="63"/>
    </row>
    <row r="832" spans="1:14" ht="14.5" x14ac:dyDescent="0.35">
      <c r="E832" s="59" t="s">
        <v>24</v>
      </c>
    </row>
    <row r="833" ht="14.5" x14ac:dyDescent="0.35"/>
    <row r="834" ht="14.5" x14ac:dyDescent="0.35"/>
    <row r="835" ht="14.5" x14ac:dyDescent="0.35"/>
  </sheetData>
  <dataValidations count="2">
    <dataValidation type="list" allowBlank="1" showInputMessage="1" showErrorMessage="1" sqref="B2:B823" xr:uid="{4A9C0767-6EB6-457B-B311-0F0023443E3A}">
      <formula1>Licence_Category</formula1>
    </dataValidation>
    <dataValidation type="list" allowBlank="1" showInputMessage="1" showErrorMessage="1" sqref="C2:C823" xr:uid="{863D9207-B5C6-4E52-A879-C59E3C59CF26}">
      <formula1>_xlfn.SWITCH(B2,Slots,Slot_Operators,Betting,Betting_Operators,Bingo,Bingo_Operators,Casino,Casino_Operators,Suppliers,Supplier_Operators,Software,Software_Operators)</formula1>
    </dataValidation>
  </dataValidations>
  <pageMargins left="0.25" right="0.25" top="0.75" bottom="0.75" header="0.3" footer="0.3"/>
  <pageSetup fitToHeight="0" orientation="landscape"/>
  <headerFooter>
    <oddFooter>&amp;R_x000D_&amp;1#&amp;"Calibri"&amp;10&amp;KFFFF00 Classification : LGRB General</oddFooter>
  </headerFooter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555d31-f44c-413b-957f-d3428d8e3a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47409A0C3AA4E9A11E703FAFE2FB5" ma:contentTypeVersion="8" ma:contentTypeDescription="Create a new document." ma:contentTypeScope="" ma:versionID="0974e6d76c7723c5e3bf6b7e76881893">
  <xsd:schema xmlns:xsd="http://www.w3.org/2001/XMLSchema" xmlns:xs="http://www.w3.org/2001/XMLSchema" xmlns:p="http://schemas.microsoft.com/office/2006/metadata/properties" xmlns:ns3="76555d31-f44c-413b-957f-d3428d8e3ac5" xmlns:ns4="aceefc10-4064-4426-9775-49e61f4992c0" targetNamespace="http://schemas.microsoft.com/office/2006/metadata/properties" ma:root="true" ma:fieldsID="488c667b94d5b903585aefd46a3e41cc" ns3:_="" ns4:_="">
    <xsd:import namespace="76555d31-f44c-413b-957f-d3428d8e3ac5"/>
    <xsd:import namespace="aceefc10-4064-4426-9775-49e61f4992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555d31-f44c-413b-957f-d3428d8e3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efc10-4064-4426-9775-49e61f4992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3EC725-D2B5-4BFA-8403-37ACEC514260}">
  <ds:schemaRefs>
    <ds:schemaRef ds:uri="http://schemas.microsoft.com/office/2006/metadata/properties"/>
    <ds:schemaRef ds:uri="http://schemas.microsoft.com/office/infopath/2007/PartnerControls"/>
    <ds:schemaRef ds:uri="76555d31-f44c-413b-957f-d3428d8e3ac5"/>
  </ds:schemaRefs>
</ds:datastoreItem>
</file>

<file path=customXml/itemProps2.xml><?xml version="1.0" encoding="utf-8"?>
<ds:datastoreItem xmlns:ds="http://schemas.openxmlformats.org/officeDocument/2006/customXml" ds:itemID="{9F223B6D-543A-4AC8-98FD-6106801316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50F470-06A1-4485-BE57-FF2EE3975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555d31-f44c-413b-957f-d3428d8e3ac5"/>
    <ds:schemaRef ds:uri="aceefc10-4064-4426-9775-49e61f4992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ARNOLD MAFABI</cp:lastModifiedBy>
  <cp:revision/>
  <dcterms:created xsi:type="dcterms:W3CDTF">2022-08-05T12:01:20Z</dcterms:created>
  <dcterms:modified xsi:type="dcterms:W3CDTF">2025-12-19T15:31:14Z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0x01010090347409A0C3AA4E9A11E703FAFE2FB5</vt:lpwstr>
  </property>
  <property fmtid="{D5CDD505-2E9C-101B-9397-08002B2CF9AE}" pid="3" name="MSIP_Label_be9a55d8-838d-4dc1-ba74-04f1dae70cce_Enabled">
    <vt:lpwstr>true</vt:lpwstr>
  </property>
  <property fmtid="{D5CDD505-2E9C-101B-9397-08002B2CF9AE}" pid="4" name="MSIP_Label_be9a55d8-838d-4dc1-ba74-04f1dae70cce_SetDate">
    <vt:lpwstr>2024-09-19T08:36:22Z</vt:lpwstr>
  </property>
  <property fmtid="{D5CDD505-2E9C-101B-9397-08002B2CF9AE}" pid="5" name="MSIP_Label_be9a55d8-838d-4dc1-ba74-04f1dae70cce_Method">
    <vt:lpwstr>Privileged</vt:lpwstr>
  </property>
  <property fmtid="{D5CDD505-2E9C-101B-9397-08002B2CF9AE}" pid="6" name="MSIP_Label_be9a55d8-838d-4dc1-ba74-04f1dae70cce_Name">
    <vt:lpwstr>LGRB - General</vt:lpwstr>
  </property>
  <property fmtid="{D5CDD505-2E9C-101B-9397-08002B2CF9AE}" pid="7" name="MSIP_Label_be9a55d8-838d-4dc1-ba74-04f1dae70cce_SiteId">
    <vt:lpwstr>95243610-9fdd-4bcf-b49f-00a86853ca27</vt:lpwstr>
  </property>
  <property fmtid="{D5CDD505-2E9C-101B-9397-08002B2CF9AE}" pid="8" name="MSIP_Label_be9a55d8-838d-4dc1-ba74-04f1dae70cce_ActionId">
    <vt:lpwstr>7fdad812-bb95-4f97-8311-aba7ad113737</vt:lpwstr>
  </property>
  <property fmtid="{D5CDD505-2E9C-101B-9397-08002B2CF9AE}" pid="9" name="MSIP_Label_be9a55d8-838d-4dc1-ba74-04f1dae70cce_ContentBits">
    <vt:lpwstr>2</vt:lpwstr>
  </property>
</Properties>
</file>